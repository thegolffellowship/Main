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ft4918447-my.sharepoint.com/personal/admin_thegolffellowship_com/Documents/TGF Financial/"/>
    </mc:Choice>
  </mc:AlternateContent>
  <xr:revisionPtr revIDLastSave="2421" documentId="8_{ED3C5446-BCD5-4114-9F7D-4CFB53F5B5E6}" xr6:coauthVersionLast="47" xr6:coauthVersionMax="47" xr10:uidLastSave="{F1B19858-D041-E144-BF66-FFDAAB568CE8}"/>
  <bookViews>
    <workbookView xWindow="0" yWindow="500" windowWidth="25600" windowHeight="28300" xr2:uid="{F224D3A2-BEF3-40FE-9803-3E5905D6A2DE}"/>
  </bookViews>
  <sheets>
    <sheet name="Game Calculator" sheetId="8" r:id="rId1"/>
    <sheet name="Side Games 9" sheetId="1" r:id="rId2"/>
    <sheet name="Side Games 18" sheetId="7" r:id="rId3"/>
    <sheet name="Calendar" sheetId="2" r:id="rId4"/>
    <sheet name="Admin" sheetId="9" state="hidden" r:id="rId5"/>
  </sheets>
  <definedNames>
    <definedName name="EventHoles">Admin!$A$2:$A$3</definedName>
    <definedName name="_xlnm.Print_Area" localSheetId="3">Calendar!$A$2:$J$54</definedName>
    <definedName name="_xlnm.Print_Area" localSheetId="2">'Side Games 18'!$A$1:$BM$61</definedName>
    <definedName name="_xlnm.Print_Area" localSheetId="1">'Side Games 9'!$A$1:$BM$48</definedName>
    <definedName name="TGFChapter">Admin!$B$2:$B$5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8" l="1"/>
  <c r="W17" i="8"/>
  <c r="K20" i="8"/>
  <c r="L7" i="8"/>
  <c r="L6" i="8"/>
  <c r="L5" i="8"/>
  <c r="K21" i="8"/>
  <c r="B21" i="8"/>
  <c r="Q20" i="8"/>
  <c r="M20" i="8"/>
  <c r="D20" i="8"/>
  <c r="K15" i="8"/>
  <c r="L15" i="8" s="1"/>
  <c r="O11" i="8"/>
  <c r="C7" i="8"/>
  <c r="C6" i="8"/>
  <c r="C5" i="8"/>
  <c r="C2" i="2"/>
  <c r="D2" i="2"/>
  <c r="E2" i="2" s="1"/>
  <c r="F2" i="2" s="1"/>
  <c r="G2" i="2"/>
  <c r="H2" i="2" s="1"/>
  <c r="C4" i="2"/>
  <c r="D4" i="2" s="1"/>
  <c r="E4" i="2" s="1"/>
  <c r="F4" i="2" s="1"/>
  <c r="G4" i="2" s="1"/>
  <c r="H4" i="2" s="1"/>
  <c r="B3" i="2"/>
  <c r="C3" i="2" s="1"/>
  <c r="D3" i="2" s="1"/>
  <c r="E3" i="2" s="1"/>
  <c r="F3" i="2" s="1"/>
  <c r="G3" i="2" s="1"/>
  <c r="H3" i="2" s="1"/>
  <c r="B4" i="2"/>
  <c r="B5" i="2" s="1"/>
  <c r="AK21" i="7"/>
  <c r="AK29" i="7" s="1"/>
  <c r="X39" i="7"/>
  <c r="X52" i="7" s="1"/>
  <c r="X53" i="7" s="1"/>
  <c r="Y39" i="7"/>
  <c r="Y41" i="7" s="1"/>
  <c r="Y42" i="7" s="1"/>
  <c r="X40" i="7"/>
  <c r="Y40" i="7"/>
  <c r="X41" i="7"/>
  <c r="AF39" i="7"/>
  <c r="AF52" i="7" s="1"/>
  <c r="AF53" i="7" s="1"/>
  <c r="AG39" i="7"/>
  <c r="AG52" i="7" s="1"/>
  <c r="AG53" i="7" s="1"/>
  <c r="AH39" i="7"/>
  <c r="AF40" i="7"/>
  <c r="AG40" i="7"/>
  <c r="AH40" i="7"/>
  <c r="AG41" i="7"/>
  <c r="AG42" i="7" s="1"/>
  <c r="AG48" i="7"/>
  <c r="AG49" i="7"/>
  <c r="X42" i="7"/>
  <c r="X46" i="7" s="1"/>
  <c r="Y43" i="7"/>
  <c r="Y47" i="7"/>
  <c r="Y48" i="7"/>
  <c r="Y52" i="7"/>
  <c r="Y53" i="7" s="1"/>
  <c r="AH52" i="7"/>
  <c r="AH53" i="7"/>
  <c r="BA35" i="7"/>
  <c r="AS27" i="7"/>
  <c r="AS31" i="7"/>
  <c r="W18" i="7"/>
  <c r="W21" i="7" s="1"/>
  <c r="W25" i="7" s="1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M20" i="7" s="1"/>
  <c r="AN18" i="7"/>
  <c r="AO18" i="7"/>
  <c r="AP18" i="7"/>
  <c r="AQ18" i="7"/>
  <c r="AR18" i="7"/>
  <c r="AS18" i="7"/>
  <c r="AS23" i="7" s="1"/>
  <c r="AT18" i="7"/>
  <c r="AU18" i="7"/>
  <c r="AV18" i="7"/>
  <c r="AW18" i="7"/>
  <c r="AX18" i="7"/>
  <c r="AY18" i="7"/>
  <c r="AZ18" i="7"/>
  <c r="BA18" i="7"/>
  <c r="BA23" i="7" s="1"/>
  <c r="BA27" i="7" s="1"/>
  <c r="BA31" i="7" s="1"/>
  <c r="BB18" i="7"/>
  <c r="BC18" i="7"/>
  <c r="BD18" i="7"/>
  <c r="BE18" i="7"/>
  <c r="BF18" i="7"/>
  <c r="BG18" i="7"/>
  <c r="BH18" i="7"/>
  <c r="BI18" i="7"/>
  <c r="BJ18" i="7"/>
  <c r="BK18" i="7"/>
  <c r="BK21" i="7" s="1"/>
  <c r="BL18" i="7"/>
  <c r="BM18" i="7"/>
  <c r="P18" i="7"/>
  <c r="Q18" i="7"/>
  <c r="Q21" i="7" s="1"/>
  <c r="R18" i="7"/>
  <c r="S18" i="7"/>
  <c r="T18" i="7"/>
  <c r="U18" i="7"/>
  <c r="U22" i="7" s="1"/>
  <c r="V18" i="7"/>
  <c r="O18" i="7"/>
  <c r="O20" i="7" s="1"/>
  <c r="N18" i="7"/>
  <c r="N22" i="7" s="1"/>
  <c r="U26" i="7"/>
  <c r="J20" i="7"/>
  <c r="J67" i="7" s="1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BK19" i="7"/>
  <c r="BL19" i="7"/>
  <c r="BM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L18" i="7"/>
  <c r="L20" i="7" s="1"/>
  <c r="L67" i="7" s="1"/>
  <c r="M18" i="7"/>
  <c r="M20" i="7" s="1"/>
  <c r="M67" i="7" s="1"/>
  <c r="L22" i="7"/>
  <c r="D37" i="7"/>
  <c r="E37" i="7"/>
  <c r="F37" i="7"/>
  <c r="G37" i="7"/>
  <c r="H37" i="7"/>
  <c r="I37" i="7"/>
  <c r="J37" i="7"/>
  <c r="K37" i="7"/>
  <c r="L37" i="7"/>
  <c r="M37" i="7"/>
  <c r="C37" i="7"/>
  <c r="I20" i="7"/>
  <c r="I21" i="7"/>
  <c r="Q25" i="7"/>
  <c r="G20" i="7"/>
  <c r="H20" i="7"/>
  <c r="H67" i="7" s="1"/>
  <c r="G21" i="7"/>
  <c r="H21" i="7"/>
  <c r="E18" i="7"/>
  <c r="E20" i="7" s="1"/>
  <c r="E67" i="7" s="1"/>
  <c r="F18" i="7"/>
  <c r="F20" i="7" s="1"/>
  <c r="G18" i="7"/>
  <c r="H18" i="7"/>
  <c r="I18" i="7"/>
  <c r="J18" i="7"/>
  <c r="J21" i="7" s="1"/>
  <c r="K18" i="7"/>
  <c r="K20" i="7" s="1"/>
  <c r="K67" i="7" s="1"/>
  <c r="AX5" i="7"/>
  <c r="BF5" i="7"/>
  <c r="AX6" i="7"/>
  <c r="BF6" i="7"/>
  <c r="AX7" i="7"/>
  <c r="BF7" i="7"/>
  <c r="R4" i="7"/>
  <c r="S4" i="7"/>
  <c r="T4" i="7"/>
  <c r="T5" i="7" s="1"/>
  <c r="T7" i="7" s="1"/>
  <c r="U4" i="7"/>
  <c r="U5" i="7" s="1"/>
  <c r="U7" i="7" s="1"/>
  <c r="V4" i="7"/>
  <c r="V5" i="7" s="1"/>
  <c r="V7" i="7" s="1"/>
  <c r="W4" i="7"/>
  <c r="W5" i="7" s="1"/>
  <c r="W7" i="7" s="1"/>
  <c r="X4" i="7"/>
  <c r="X5" i="7" s="1"/>
  <c r="X7" i="7" s="1"/>
  <c r="Y4" i="7"/>
  <c r="K11" i="8" s="1"/>
  <c r="Z4" i="7"/>
  <c r="Z5" i="7" s="1"/>
  <c r="Z7" i="7" s="1"/>
  <c r="AA4" i="7"/>
  <c r="AA5" i="7" s="1"/>
  <c r="AA7" i="7" s="1"/>
  <c r="AB4" i="7"/>
  <c r="AB5" i="7" s="1"/>
  <c r="AB7" i="7" s="1"/>
  <c r="AC4" i="7"/>
  <c r="AC5" i="7" s="1"/>
  <c r="AC7" i="7" s="1"/>
  <c r="AD4" i="7"/>
  <c r="AD5" i="7" s="1"/>
  <c r="AD7" i="7" s="1"/>
  <c r="AE4" i="7"/>
  <c r="AE5" i="7" s="1"/>
  <c r="AE7" i="7" s="1"/>
  <c r="AF4" i="7"/>
  <c r="AF5" i="7" s="1"/>
  <c r="AF7" i="7" s="1"/>
  <c r="AG4" i="7"/>
  <c r="AG5" i="7" s="1"/>
  <c r="AG7" i="7" s="1"/>
  <c r="AH4" i="7"/>
  <c r="AH5" i="7" s="1"/>
  <c r="AH7" i="7" s="1"/>
  <c r="AI4" i="7"/>
  <c r="AI5" i="7" s="1"/>
  <c r="AI7" i="7" s="1"/>
  <c r="AJ4" i="7"/>
  <c r="AJ5" i="7" s="1"/>
  <c r="AJ7" i="7" s="1"/>
  <c r="AK4" i="7"/>
  <c r="AL4" i="7"/>
  <c r="AM4" i="7"/>
  <c r="AN4" i="7"/>
  <c r="AO4" i="7"/>
  <c r="AO5" i="7" s="1"/>
  <c r="AO7" i="7" s="1"/>
  <c r="AP4" i="7"/>
  <c r="AP5" i="7" s="1"/>
  <c r="AP7" i="7" s="1"/>
  <c r="AQ4" i="7"/>
  <c r="AQ5" i="7" s="1"/>
  <c r="AQ7" i="7" s="1"/>
  <c r="AR4" i="7"/>
  <c r="AR5" i="7" s="1"/>
  <c r="AR7" i="7" s="1"/>
  <c r="AS4" i="7"/>
  <c r="AS5" i="7" s="1"/>
  <c r="AS7" i="7" s="1"/>
  <c r="AT4" i="7"/>
  <c r="AT6" i="7" s="1"/>
  <c r="AU4" i="7"/>
  <c r="AU5" i="7" s="1"/>
  <c r="AU7" i="7" s="1"/>
  <c r="AV4" i="7"/>
  <c r="AV5" i="7" s="1"/>
  <c r="AV7" i="7" s="1"/>
  <c r="AW4" i="7"/>
  <c r="AW6" i="7" s="1"/>
  <c r="AX4" i="7"/>
  <c r="AY4" i="7"/>
  <c r="AY5" i="7" s="1"/>
  <c r="AY7" i="7" s="1"/>
  <c r="AZ4" i="7"/>
  <c r="AZ5" i="7" s="1"/>
  <c r="AZ7" i="7" s="1"/>
  <c r="BA4" i="7"/>
  <c r="BA5" i="7" s="1"/>
  <c r="BA7" i="7" s="1"/>
  <c r="BB4" i="7"/>
  <c r="BB5" i="7" s="1"/>
  <c r="BB7" i="7" s="1"/>
  <c r="BC4" i="7"/>
  <c r="BC5" i="7" s="1"/>
  <c r="BC7" i="7" s="1"/>
  <c r="BD4" i="7"/>
  <c r="BD5" i="7" s="1"/>
  <c r="BD7" i="7" s="1"/>
  <c r="BE4" i="7"/>
  <c r="BE6" i="7" s="1"/>
  <c r="BF4" i="7"/>
  <c r="BG4" i="7"/>
  <c r="BG5" i="7" s="1"/>
  <c r="BG7" i="7" s="1"/>
  <c r="BH4" i="7"/>
  <c r="BH5" i="7" s="1"/>
  <c r="BH7" i="7" s="1"/>
  <c r="BI4" i="7"/>
  <c r="BI5" i="7" s="1"/>
  <c r="BI7" i="7" s="1"/>
  <c r="BJ4" i="7"/>
  <c r="BJ5" i="7" s="1"/>
  <c r="BJ7" i="7" s="1"/>
  <c r="BK4" i="7"/>
  <c r="BK5" i="7" s="1"/>
  <c r="BK7" i="7" s="1"/>
  <c r="BL4" i="7"/>
  <c r="BL5" i="7" s="1"/>
  <c r="BL7" i="7" s="1"/>
  <c r="BM4" i="7"/>
  <c r="BM6" i="7" s="1"/>
  <c r="Q4" i="7"/>
  <c r="Q5" i="7"/>
  <c r="R5" i="7"/>
  <c r="S5" i="7"/>
  <c r="Q7" i="7"/>
  <c r="R7" i="7"/>
  <c r="S7" i="7"/>
  <c r="H4" i="7"/>
  <c r="I4" i="7"/>
  <c r="J4" i="7"/>
  <c r="K4" i="7"/>
  <c r="K5" i="7" s="1"/>
  <c r="K7" i="7" s="1"/>
  <c r="K66" i="7" s="1"/>
  <c r="L4" i="7"/>
  <c r="L5" i="7" s="1"/>
  <c r="L7" i="7" s="1"/>
  <c r="L66" i="7" s="1"/>
  <c r="M4" i="7"/>
  <c r="N4" i="7"/>
  <c r="O4" i="7"/>
  <c r="O5" i="7" s="1"/>
  <c r="O7" i="7" s="1"/>
  <c r="O66" i="7" s="1"/>
  <c r="P4" i="7"/>
  <c r="P6" i="7" s="1"/>
  <c r="I5" i="7"/>
  <c r="J5" i="7"/>
  <c r="M5" i="7"/>
  <c r="M7" i="7" s="1"/>
  <c r="M66" i="7" s="1"/>
  <c r="N5" i="7"/>
  <c r="N7" i="7" s="1"/>
  <c r="N66" i="7" s="1"/>
  <c r="F4" i="7"/>
  <c r="G4" i="7"/>
  <c r="G5" i="7" s="1"/>
  <c r="G7" i="7" s="1"/>
  <c r="G66" i="7" s="1"/>
  <c r="E4" i="7"/>
  <c r="N6" i="7"/>
  <c r="M6" i="7"/>
  <c r="J7" i="7"/>
  <c r="J66" i="7" s="1"/>
  <c r="I7" i="7"/>
  <c r="I66" i="7" s="1"/>
  <c r="H5" i="7"/>
  <c r="H7" i="7" s="1"/>
  <c r="H66" i="7" s="1"/>
  <c r="F5" i="7"/>
  <c r="F7" i="7" s="1"/>
  <c r="F66" i="7" s="1"/>
  <c r="E5" i="7"/>
  <c r="E7" i="7" s="1"/>
  <c r="E66" i="7" s="1"/>
  <c r="BM17" i="7"/>
  <c r="BL17" i="7"/>
  <c r="BK17" i="7"/>
  <c r="BJ17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G60" i="7" s="1"/>
  <c r="F17" i="7"/>
  <c r="F60" i="7" s="1"/>
  <c r="E17" i="7"/>
  <c r="D17" i="7"/>
  <c r="C17" i="7"/>
  <c r="J11" i="8"/>
  <c r="L8" i="8" l="1"/>
  <c r="B22" i="8"/>
  <c r="K22" i="8"/>
  <c r="O67" i="7"/>
  <c r="O24" i="7"/>
  <c r="M22" i="7"/>
  <c r="AP20" i="7"/>
  <c r="AP22" i="7"/>
  <c r="AP21" i="7"/>
  <c r="AP23" i="7"/>
  <c r="AP27" i="7" s="1"/>
  <c r="AP31" i="7" s="1"/>
  <c r="AU6" i="7"/>
  <c r="BL6" i="7"/>
  <c r="BD6" i="7"/>
  <c r="N21" i="7"/>
  <c r="BM21" i="7"/>
  <c r="BM22" i="7"/>
  <c r="BM23" i="7"/>
  <c r="BM20" i="7"/>
  <c r="BE21" i="7"/>
  <c r="BE22" i="7"/>
  <c r="BE20" i="7"/>
  <c r="BE23" i="7"/>
  <c r="AW22" i="7"/>
  <c r="AW23" i="7"/>
  <c r="AW27" i="7" s="1"/>
  <c r="AW31" i="7" s="1"/>
  <c r="AW20" i="7"/>
  <c r="AW21" i="7"/>
  <c r="AO22" i="7"/>
  <c r="AO23" i="7"/>
  <c r="AO27" i="7" s="1"/>
  <c r="AO31" i="7" s="1"/>
  <c r="AO20" i="7"/>
  <c r="AO21" i="7"/>
  <c r="AG21" i="7"/>
  <c r="AG25" i="7" s="1"/>
  <c r="AG20" i="7"/>
  <c r="AG23" i="7"/>
  <c r="AG27" i="7" s="1"/>
  <c r="AG22" i="7"/>
  <c r="AG26" i="7" s="1"/>
  <c r="Y20" i="7"/>
  <c r="Y21" i="7"/>
  <c r="Y25" i="7" s="1"/>
  <c r="Y22" i="7"/>
  <c r="Y26" i="7" s="1"/>
  <c r="AK25" i="7"/>
  <c r="AW5" i="7"/>
  <c r="AW7" i="7" s="1"/>
  <c r="AN5" i="7"/>
  <c r="AN7" i="7" s="1"/>
  <c r="AN6" i="7"/>
  <c r="BE5" i="7"/>
  <c r="BE7" i="7" s="1"/>
  <c r="I67" i="7"/>
  <c r="V20" i="7"/>
  <c r="V22" i="7"/>
  <c r="V26" i="7" s="1"/>
  <c r="V21" i="7"/>
  <c r="V25" i="7" s="1"/>
  <c r="BL20" i="7"/>
  <c r="BL23" i="7"/>
  <c r="BL21" i="7"/>
  <c r="BL22" i="7"/>
  <c r="BD20" i="7"/>
  <c r="BD23" i="7"/>
  <c r="BD21" i="7"/>
  <c r="BD22" i="7"/>
  <c r="AV21" i="7"/>
  <c r="AV23" i="7"/>
  <c r="AV27" i="7" s="1"/>
  <c r="AV31" i="7" s="1"/>
  <c r="AV20" i="7"/>
  <c r="AV22" i="7"/>
  <c r="AN22" i="7"/>
  <c r="AN23" i="7"/>
  <c r="AN27" i="7" s="1"/>
  <c r="AN31" i="7" s="1"/>
  <c r="AN21" i="7"/>
  <c r="AN20" i="7"/>
  <c r="AF23" i="7"/>
  <c r="AF27" i="7" s="1"/>
  <c r="AF20" i="7"/>
  <c r="AF21" i="7"/>
  <c r="AF25" i="7" s="1"/>
  <c r="AF22" i="7"/>
  <c r="AF26" i="7" s="1"/>
  <c r="X21" i="7"/>
  <c r="X25" i="7" s="1"/>
  <c r="X22" i="7"/>
  <c r="X26" i="7" s="1"/>
  <c r="X20" i="7"/>
  <c r="P5" i="7"/>
  <c r="P7" i="7" s="1"/>
  <c r="P66" i="7" s="1"/>
  <c r="P21" i="7"/>
  <c r="P25" i="7" s="1"/>
  <c r="P20" i="7"/>
  <c r="H60" i="7"/>
  <c r="M21" i="7"/>
  <c r="M60" i="7" s="1"/>
  <c r="G67" i="7"/>
  <c r="L21" i="7"/>
  <c r="BK33" i="7"/>
  <c r="BK25" i="7"/>
  <c r="BK29" i="7"/>
  <c r="AM24" i="7"/>
  <c r="AM28" i="7"/>
  <c r="AM67" i="7"/>
  <c r="AO6" i="7"/>
  <c r="BM5" i="7"/>
  <c r="BM7" i="7" s="1"/>
  <c r="BK6" i="7"/>
  <c r="E60" i="7"/>
  <c r="Y5" i="7"/>
  <c r="N60" i="7"/>
  <c r="AV6" i="7"/>
  <c r="BF22" i="7"/>
  <c r="BF23" i="7"/>
  <c r="BF21" i="7"/>
  <c r="BF20" i="7"/>
  <c r="AM5" i="7"/>
  <c r="AM7" i="7" s="1"/>
  <c r="AM6" i="7"/>
  <c r="O6" i="7"/>
  <c r="AT5" i="7"/>
  <c r="AT7" i="7" s="1"/>
  <c r="AS6" i="7"/>
  <c r="AR6" i="7"/>
  <c r="BI6" i="7"/>
  <c r="N20" i="7"/>
  <c r="N67" i="7" s="1"/>
  <c r="O21" i="7"/>
  <c r="O25" i="7" s="1"/>
  <c r="AQ6" i="7"/>
  <c r="BH6" i="7"/>
  <c r="AZ6" i="7"/>
  <c r="K21" i="7"/>
  <c r="AX20" i="7"/>
  <c r="AX22" i="7"/>
  <c r="AX21" i="7"/>
  <c r="AX23" i="7"/>
  <c r="AX27" i="7" s="1"/>
  <c r="AX31" i="7" s="1"/>
  <c r="AL6" i="7"/>
  <c r="F11" i="8" s="1"/>
  <c r="B11" i="8"/>
  <c r="AL5" i="7"/>
  <c r="BC6" i="7"/>
  <c r="I60" i="7"/>
  <c r="AK5" i="7"/>
  <c r="AK7" i="7" s="1"/>
  <c r="AK6" i="7"/>
  <c r="BJ6" i="7"/>
  <c r="BB6" i="7"/>
  <c r="J60" i="7"/>
  <c r="BA6" i="7"/>
  <c r="K22" i="7"/>
  <c r="K60" i="7" s="1"/>
  <c r="L60" i="7"/>
  <c r="AP6" i="7"/>
  <c r="BG6" i="7"/>
  <c r="AY6" i="7"/>
  <c r="F67" i="7"/>
  <c r="R21" i="7"/>
  <c r="R25" i="7" s="1"/>
  <c r="R20" i="7"/>
  <c r="BH21" i="7"/>
  <c r="BH20" i="7"/>
  <c r="BH22" i="7"/>
  <c r="BH23" i="7"/>
  <c r="AZ21" i="7"/>
  <c r="AZ20" i="7"/>
  <c r="AZ23" i="7"/>
  <c r="AZ22" i="7"/>
  <c r="AR23" i="7"/>
  <c r="AR27" i="7" s="1"/>
  <c r="AR31" i="7" s="1"/>
  <c r="AR21" i="7"/>
  <c r="AR22" i="7"/>
  <c r="AR20" i="7"/>
  <c r="AJ21" i="7"/>
  <c r="AJ20" i="7"/>
  <c r="AJ22" i="7"/>
  <c r="AB23" i="7"/>
  <c r="AB22" i="7"/>
  <c r="AB20" i="7"/>
  <c r="AB21" i="7"/>
  <c r="B20" i="8"/>
  <c r="BG23" i="7"/>
  <c r="BG20" i="7"/>
  <c r="BG22" i="7"/>
  <c r="BG21" i="7"/>
  <c r="AY23" i="7"/>
  <c r="AY20" i="7"/>
  <c r="AY21" i="7"/>
  <c r="AY22" i="7"/>
  <c r="AQ21" i="7"/>
  <c r="AQ22" i="7"/>
  <c r="AQ23" i="7"/>
  <c r="AQ27" i="7" s="1"/>
  <c r="AQ31" i="7" s="1"/>
  <c r="AQ20" i="7"/>
  <c r="AI20" i="7"/>
  <c r="AI22" i="7"/>
  <c r="AI21" i="7"/>
  <c r="AA20" i="7"/>
  <c r="AA22" i="7"/>
  <c r="AA26" i="7" s="1"/>
  <c r="AA21" i="7"/>
  <c r="AA25" i="7" s="1"/>
  <c r="Q20" i="7"/>
  <c r="Y46" i="7"/>
  <c r="Y50" i="7"/>
  <c r="Y45" i="7"/>
  <c r="Y68" i="7"/>
  <c r="Y44" i="7"/>
  <c r="AH22" i="7"/>
  <c r="AH26" i="7" s="1"/>
  <c r="AH21" i="7"/>
  <c r="AH25" i="7" s="1"/>
  <c r="AH20" i="7"/>
  <c r="AH23" i="7"/>
  <c r="AH27" i="7" s="1"/>
  <c r="Z20" i="7"/>
  <c r="Z21" i="7"/>
  <c r="Z25" i="7" s="1"/>
  <c r="Z22" i="7"/>
  <c r="Z26" i="7" s="1"/>
  <c r="X50" i="7"/>
  <c r="X47" i="7"/>
  <c r="X45" i="7"/>
  <c r="X49" i="7"/>
  <c r="X68" i="7"/>
  <c r="X44" i="7"/>
  <c r="X48" i="7"/>
  <c r="X43" i="7"/>
  <c r="T22" i="7"/>
  <c r="T26" i="7" s="1"/>
  <c r="T21" i="7"/>
  <c r="T25" i="7" s="1"/>
  <c r="T20" i="7"/>
  <c r="BJ23" i="7"/>
  <c r="BJ22" i="7"/>
  <c r="BJ21" i="7"/>
  <c r="BJ20" i="7"/>
  <c r="BB23" i="7"/>
  <c r="BB22" i="7"/>
  <c r="BB21" i="7"/>
  <c r="BB20" i="7"/>
  <c r="AT22" i="7"/>
  <c r="AT20" i="7"/>
  <c r="AT23" i="7"/>
  <c r="AT27" i="7" s="1"/>
  <c r="AT31" i="7" s="1"/>
  <c r="AT21" i="7"/>
  <c r="AL20" i="7"/>
  <c r="AL22" i="7"/>
  <c r="AL21" i="7"/>
  <c r="AD21" i="7"/>
  <c r="AD25" i="7" s="1"/>
  <c r="AD22" i="7"/>
  <c r="AD26" i="7" s="1"/>
  <c r="AD20" i="7"/>
  <c r="AD23" i="7"/>
  <c r="AD27" i="7" s="1"/>
  <c r="S20" i="7"/>
  <c r="S22" i="7"/>
  <c r="S21" i="7"/>
  <c r="BI22" i="7"/>
  <c r="BI21" i="7"/>
  <c r="BI20" i="7"/>
  <c r="BI23" i="7"/>
  <c r="BA22" i="7"/>
  <c r="BA21" i="7"/>
  <c r="BA20" i="7"/>
  <c r="AS20" i="7"/>
  <c r="AS21" i="7"/>
  <c r="AS22" i="7"/>
  <c r="AK20" i="7"/>
  <c r="AK22" i="7"/>
  <c r="AC20" i="7"/>
  <c r="AC23" i="7"/>
  <c r="AC27" i="7" s="1"/>
  <c r="AC21" i="7"/>
  <c r="AC25" i="7" s="1"/>
  <c r="AC22" i="7"/>
  <c r="AC26" i="7" s="1"/>
  <c r="Y49" i="7"/>
  <c r="AG50" i="7"/>
  <c r="AG43" i="7"/>
  <c r="AG44" i="7"/>
  <c r="AG45" i="7"/>
  <c r="AG46" i="7"/>
  <c r="AG47" i="7"/>
  <c r="Y61" i="7"/>
  <c r="AG68" i="7"/>
  <c r="AG61" i="7"/>
  <c r="X61" i="7"/>
  <c r="B6" i="2"/>
  <c r="C6" i="2" s="1"/>
  <c r="D6" i="2" s="1"/>
  <c r="E6" i="2" s="1"/>
  <c r="F6" i="2" s="1"/>
  <c r="G6" i="2" s="1"/>
  <c r="H6" i="2" s="1"/>
  <c r="C5" i="2"/>
  <c r="D5" i="2" s="1"/>
  <c r="E5" i="2" s="1"/>
  <c r="F5" i="2" s="1"/>
  <c r="G5" i="2" s="1"/>
  <c r="H5" i="2" s="1"/>
  <c r="U21" i="7"/>
  <c r="U25" i="7" s="1"/>
  <c r="U20" i="7"/>
  <c r="BK23" i="7"/>
  <c r="BK22" i="7"/>
  <c r="BK20" i="7"/>
  <c r="BC23" i="7"/>
  <c r="BC22" i="7"/>
  <c r="BC20" i="7"/>
  <c r="BC21" i="7"/>
  <c r="AU23" i="7"/>
  <c r="AU27" i="7" s="1"/>
  <c r="AU31" i="7" s="1"/>
  <c r="AU20" i="7"/>
  <c r="AU21" i="7"/>
  <c r="AU22" i="7"/>
  <c r="AM22" i="7"/>
  <c r="AM21" i="7"/>
  <c r="AE22" i="7"/>
  <c r="AE26" i="7" s="1"/>
  <c r="AE23" i="7"/>
  <c r="AE27" i="7" s="1"/>
  <c r="AE20" i="7"/>
  <c r="AE21" i="7"/>
  <c r="AE25" i="7" s="1"/>
  <c r="W22" i="7"/>
  <c r="W26" i="7" s="1"/>
  <c r="W20" i="7"/>
  <c r="AE60" i="7" l="1"/>
  <c r="BC29" i="7"/>
  <c r="BC25" i="7"/>
  <c r="BC33" i="7"/>
  <c r="BA34" i="7"/>
  <c r="BA26" i="7"/>
  <c r="BA30" i="7"/>
  <c r="C20" i="8"/>
  <c r="E20" i="8"/>
  <c r="AB24" i="7"/>
  <c r="AB60" i="7" s="1"/>
  <c r="AB67" i="7"/>
  <c r="AV25" i="7"/>
  <c r="AV29" i="7"/>
  <c r="BL67" i="7"/>
  <c r="BL28" i="7"/>
  <c r="BL32" i="7"/>
  <c r="BL24" i="7"/>
  <c r="Y67" i="7"/>
  <c r="Y24" i="7"/>
  <c r="Y60" i="7"/>
  <c r="AO30" i="7"/>
  <c r="AO26" i="7"/>
  <c r="BE25" i="7"/>
  <c r="BE33" i="7"/>
  <c r="BE29" i="7"/>
  <c r="N20" i="8"/>
  <c r="S67" i="7"/>
  <c r="S24" i="7"/>
  <c r="Z67" i="7"/>
  <c r="Z24" i="7"/>
  <c r="BM67" i="7"/>
  <c r="BM28" i="7"/>
  <c r="BM32" i="7"/>
  <c r="BM24" i="7"/>
  <c r="AX67" i="7"/>
  <c r="AX24" i="7"/>
  <c r="AX28" i="7"/>
  <c r="N11" i="8"/>
  <c r="Y7" i="7"/>
  <c r="L11" i="8" s="1"/>
  <c r="X67" i="7"/>
  <c r="X24" i="7"/>
  <c r="AN25" i="7"/>
  <c r="AN29" i="7"/>
  <c r="BD25" i="7"/>
  <c r="BD29" i="7"/>
  <c r="BD33" i="7"/>
  <c r="AW67" i="7"/>
  <c r="AW24" i="7"/>
  <c r="AW28" i="7"/>
  <c r="BM35" i="7"/>
  <c r="BM27" i="7"/>
  <c r="BM31" i="7" s="1"/>
  <c r="AM25" i="7"/>
  <c r="AM29" i="7"/>
  <c r="AC67" i="7"/>
  <c r="AC24" i="7"/>
  <c r="BJ67" i="7"/>
  <c r="BJ24" i="7"/>
  <c r="BJ60" i="7" s="1"/>
  <c r="BJ28" i="7"/>
  <c r="BJ32" i="7"/>
  <c r="AR25" i="7"/>
  <c r="AR29" i="7"/>
  <c r="AX29" i="7"/>
  <c r="AX25" i="7"/>
  <c r="BC27" i="7"/>
  <c r="BC31" i="7" s="1"/>
  <c r="BC35" i="7"/>
  <c r="BI35" i="7"/>
  <c r="BI27" i="7"/>
  <c r="BI31" i="7" s="1"/>
  <c r="BJ29" i="7"/>
  <c r="BJ33" i="7"/>
  <c r="BJ25" i="7"/>
  <c r="AI67" i="7"/>
  <c r="AI24" i="7"/>
  <c r="AI28" i="7"/>
  <c r="G20" i="8"/>
  <c r="AB26" i="7"/>
  <c r="BD30" i="7"/>
  <c r="BD34" i="7"/>
  <c r="BD26" i="7"/>
  <c r="W67" i="7"/>
  <c r="W24" i="7"/>
  <c r="W60" i="7" s="1"/>
  <c r="AK28" i="7"/>
  <c r="AK60" i="7" s="1"/>
  <c r="AK67" i="7"/>
  <c r="AK24" i="7"/>
  <c r="AD67" i="7"/>
  <c r="AD24" i="7"/>
  <c r="BJ34" i="7"/>
  <c r="BJ26" i="7"/>
  <c r="BJ30" i="7"/>
  <c r="AQ67" i="7"/>
  <c r="AQ24" i="7"/>
  <c r="AQ28" i="7"/>
  <c r="H20" i="8"/>
  <c r="AB27" i="7"/>
  <c r="R67" i="7"/>
  <c r="R24" i="7"/>
  <c r="R60" i="7" s="1"/>
  <c r="AX60" i="7"/>
  <c r="BK34" i="7"/>
  <c r="BK26" i="7"/>
  <c r="BK30" i="7"/>
  <c r="AS26" i="7"/>
  <c r="AS30" i="7"/>
  <c r="BI33" i="7"/>
  <c r="BI29" i="7"/>
  <c r="BI25" i="7"/>
  <c r="AT26" i="7"/>
  <c r="AT30" i="7"/>
  <c r="BJ27" i="7"/>
  <c r="BJ31" i="7" s="1"/>
  <c r="BJ35" i="7"/>
  <c r="AH67" i="7"/>
  <c r="AH24" i="7"/>
  <c r="Q67" i="7"/>
  <c r="Q24" i="7"/>
  <c r="Q60" i="7" s="1"/>
  <c r="BG30" i="7"/>
  <c r="BG34" i="7"/>
  <c r="BG26" i="7"/>
  <c r="AJ26" i="7"/>
  <c r="AJ30" i="7"/>
  <c r="AZ27" i="7"/>
  <c r="AZ31" i="7" s="1"/>
  <c r="AZ35" i="7"/>
  <c r="BF67" i="7"/>
  <c r="BF32" i="7"/>
  <c r="BF24" i="7"/>
  <c r="BF28" i="7"/>
  <c r="AM60" i="7"/>
  <c r="BD35" i="7"/>
  <c r="BD27" i="7"/>
  <c r="BD31" i="7" s="1"/>
  <c r="V67" i="7"/>
  <c r="V24" i="7"/>
  <c r="AG67" i="7"/>
  <c r="AG24" i="7"/>
  <c r="AG60" i="7" s="1"/>
  <c r="BM34" i="7"/>
  <c r="BM30" i="7"/>
  <c r="BM26" i="7"/>
  <c r="AP29" i="7"/>
  <c r="AP25" i="7"/>
  <c r="AT25" i="7"/>
  <c r="AT29" i="7"/>
  <c r="AI26" i="7"/>
  <c r="AI30" i="7"/>
  <c r="BH32" i="7"/>
  <c r="BH67" i="7"/>
  <c r="BH24" i="7"/>
  <c r="BH60" i="7" s="1"/>
  <c r="BH28" i="7"/>
  <c r="AM30" i="7"/>
  <c r="AM26" i="7"/>
  <c r="AK30" i="7"/>
  <c r="AK26" i="7"/>
  <c r="AY27" i="7"/>
  <c r="AY31" i="7" s="1"/>
  <c r="AY35" i="7"/>
  <c r="BH33" i="7"/>
  <c r="BH25" i="7"/>
  <c r="BH29" i="7"/>
  <c r="AX30" i="7"/>
  <c r="AX26" i="7"/>
  <c r="AN67" i="7"/>
  <c r="AN24" i="7"/>
  <c r="AN28" i="7"/>
  <c r="AW25" i="7"/>
  <c r="AW29" i="7"/>
  <c r="AU26" i="7"/>
  <c r="AU30" i="7"/>
  <c r="BK67" i="7"/>
  <c r="BK24" i="7"/>
  <c r="BK28" i="7"/>
  <c r="BK32" i="7"/>
  <c r="BI32" i="7"/>
  <c r="BI67" i="7"/>
  <c r="BI24" i="7"/>
  <c r="BI28" i="7"/>
  <c r="AT67" i="7"/>
  <c r="AT28" i="7"/>
  <c r="AT24" i="7"/>
  <c r="AT60" i="7" s="1"/>
  <c r="BG25" i="7"/>
  <c r="BG29" i="7"/>
  <c r="BG33" i="7"/>
  <c r="AZ34" i="7"/>
  <c r="AZ26" i="7"/>
  <c r="AZ30" i="7"/>
  <c r="AU25" i="7"/>
  <c r="AU29" i="7"/>
  <c r="AU67" i="7"/>
  <c r="AU28" i="7"/>
  <c r="AU60" i="7" s="1"/>
  <c r="AU24" i="7"/>
  <c r="BK35" i="7"/>
  <c r="BK27" i="7"/>
  <c r="BK31" i="7" s="1"/>
  <c r="AS29" i="7"/>
  <c r="AS25" i="7"/>
  <c r="BI34" i="7"/>
  <c r="BI30" i="7"/>
  <c r="BI26" i="7"/>
  <c r="BB67" i="7"/>
  <c r="BB28" i="7"/>
  <c r="BB24" i="7"/>
  <c r="BB32" i="7"/>
  <c r="T67" i="7"/>
  <c r="T24" i="7"/>
  <c r="T60" i="7" s="1"/>
  <c r="AQ26" i="7"/>
  <c r="AQ30" i="7"/>
  <c r="AQ60" i="7" s="1"/>
  <c r="BG67" i="7"/>
  <c r="BG32" i="7"/>
  <c r="BG24" i="7"/>
  <c r="BG28" i="7"/>
  <c r="AJ24" i="7"/>
  <c r="AJ60" i="7" s="1"/>
  <c r="AJ67" i="7"/>
  <c r="AJ28" i="7"/>
  <c r="AZ67" i="7"/>
  <c r="AZ24" i="7"/>
  <c r="AZ28" i="7"/>
  <c r="AZ32" i="7"/>
  <c r="AH60" i="7"/>
  <c r="X60" i="7"/>
  <c r="V60" i="7"/>
  <c r="BG60" i="7"/>
  <c r="BF25" i="7"/>
  <c r="BF29" i="7"/>
  <c r="BF33" i="7"/>
  <c r="AC60" i="7"/>
  <c r="P67" i="7"/>
  <c r="P24" i="7"/>
  <c r="P60" i="7" s="1"/>
  <c r="AN26" i="7"/>
  <c r="AN60" i="7" s="1"/>
  <c r="AN30" i="7"/>
  <c r="BD67" i="7"/>
  <c r="BD28" i="7"/>
  <c r="BD32" i="7"/>
  <c r="BD24" i="7"/>
  <c r="AW26" i="7"/>
  <c r="AW30" i="7"/>
  <c r="BM25" i="7"/>
  <c r="BM29" i="7"/>
  <c r="BM33" i="7"/>
  <c r="AP26" i="7"/>
  <c r="AP30" i="7"/>
  <c r="BC34" i="7"/>
  <c r="BC26" i="7"/>
  <c r="BC30" i="7"/>
  <c r="AY67" i="7"/>
  <c r="AY24" i="7"/>
  <c r="AY60" i="7" s="1"/>
  <c r="AY28" i="7"/>
  <c r="AY32" i="7"/>
  <c r="E11" i="8"/>
  <c r="AL7" i="7"/>
  <c r="C11" i="8" s="1"/>
  <c r="AE67" i="7"/>
  <c r="AE24" i="7"/>
  <c r="U67" i="7"/>
  <c r="U24" i="7"/>
  <c r="AS67" i="7"/>
  <c r="AS28" i="7"/>
  <c r="AS24" i="7"/>
  <c r="AS60" i="7" s="1"/>
  <c r="AL29" i="7"/>
  <c r="AL25" i="7"/>
  <c r="BB29" i="7"/>
  <c r="BB33" i="7"/>
  <c r="BB25" i="7"/>
  <c r="AQ25" i="7"/>
  <c r="AQ29" i="7"/>
  <c r="BG27" i="7"/>
  <c r="BG31" i="7" s="1"/>
  <c r="BG35" i="7"/>
  <c r="AJ29" i="7"/>
  <c r="AJ25" i="7"/>
  <c r="AZ33" i="7"/>
  <c r="AZ25" i="7"/>
  <c r="AZ29" i="7"/>
  <c r="Z60" i="7"/>
  <c r="BF35" i="7"/>
  <c r="BF27" i="7"/>
  <c r="BF31" i="7" s="1"/>
  <c r="AV30" i="7"/>
  <c r="AV26" i="7"/>
  <c r="BL34" i="7"/>
  <c r="BL26" i="7"/>
  <c r="BL30" i="7"/>
  <c r="AO25" i="7"/>
  <c r="AO29" i="7"/>
  <c r="BE35" i="7"/>
  <c r="BE27" i="7"/>
  <c r="BE31" i="7" s="1"/>
  <c r="AP67" i="7"/>
  <c r="AP24" i="7"/>
  <c r="AP28" i="7"/>
  <c r="BA67" i="7"/>
  <c r="BA24" i="7"/>
  <c r="BA60" i="7" s="1"/>
  <c r="BA28" i="7"/>
  <c r="BA32" i="7"/>
  <c r="O20" i="8"/>
  <c r="S25" i="7"/>
  <c r="S60" i="7" s="1"/>
  <c r="AL26" i="7"/>
  <c r="AL30" i="7"/>
  <c r="BB34" i="7"/>
  <c r="BB26" i="7"/>
  <c r="BB30" i="7"/>
  <c r="AA24" i="7"/>
  <c r="AA67" i="7"/>
  <c r="AY30" i="7"/>
  <c r="AY34" i="7"/>
  <c r="AY26" i="7"/>
  <c r="AR67" i="7"/>
  <c r="AR28" i="7"/>
  <c r="AR24" i="7"/>
  <c r="O60" i="7"/>
  <c r="U60" i="7"/>
  <c r="AI60" i="7"/>
  <c r="BF34" i="7"/>
  <c r="BF30" i="7"/>
  <c r="BF26" i="7"/>
  <c r="AV67" i="7"/>
  <c r="AV28" i="7"/>
  <c r="AV24" i="7"/>
  <c r="AV60" i="7" s="1"/>
  <c r="BL25" i="7"/>
  <c r="BL60" i="7" s="1"/>
  <c r="BL29" i="7"/>
  <c r="BL33" i="7"/>
  <c r="AO67" i="7"/>
  <c r="AO24" i="7"/>
  <c r="AO60" i="7" s="1"/>
  <c r="AO28" i="7"/>
  <c r="BE67" i="7"/>
  <c r="BE28" i="7"/>
  <c r="BE24" i="7"/>
  <c r="BE60" i="7" s="1"/>
  <c r="BE32" i="7"/>
  <c r="AD60" i="7"/>
  <c r="BH27" i="7"/>
  <c r="BH31" i="7" s="1"/>
  <c r="BH35" i="7"/>
  <c r="BC67" i="7"/>
  <c r="BC32" i="7"/>
  <c r="BC24" i="7"/>
  <c r="BC60" i="7" s="1"/>
  <c r="BC28" i="7"/>
  <c r="BA33" i="7"/>
  <c r="BA25" i="7"/>
  <c r="BA29" i="7"/>
  <c r="P20" i="8"/>
  <c r="S26" i="7"/>
  <c r="AL67" i="7"/>
  <c r="AL24" i="7"/>
  <c r="AL60" i="7" s="1"/>
  <c r="AL28" i="7"/>
  <c r="BB27" i="7"/>
  <c r="BB31" i="7" s="1"/>
  <c r="BB35" i="7"/>
  <c r="AI29" i="7"/>
  <c r="AI25" i="7"/>
  <c r="AY33" i="7"/>
  <c r="AY25" i="7"/>
  <c r="AY29" i="7"/>
  <c r="F20" i="8"/>
  <c r="AB25" i="7"/>
  <c r="AR26" i="7"/>
  <c r="AR60" i="7" s="1"/>
  <c r="AR30" i="7"/>
  <c r="BH30" i="7"/>
  <c r="BH34" i="7"/>
  <c r="BH26" i="7"/>
  <c r="AA60" i="7"/>
  <c r="AF67" i="7"/>
  <c r="AF24" i="7"/>
  <c r="AF60" i="7" s="1"/>
  <c r="BL35" i="7"/>
  <c r="BL27" i="7"/>
  <c r="BL31" i="7" s="1"/>
  <c r="BE30" i="7"/>
  <c r="BE34" i="7"/>
  <c r="BE26" i="7"/>
  <c r="Y17" i="1"/>
  <c r="Z17" i="1"/>
  <c r="AA17" i="1"/>
  <c r="AB17" i="1"/>
  <c r="AF21" i="1"/>
  <c r="AE21" i="1"/>
  <c r="AD21" i="1"/>
  <c r="AC21" i="1"/>
  <c r="AF19" i="1"/>
  <c r="AF22" i="1" s="1"/>
  <c r="AE19" i="1"/>
  <c r="AE22" i="1" s="1"/>
  <c r="AD19" i="1"/>
  <c r="AD22" i="1" s="1"/>
  <c r="AC19" i="1"/>
  <c r="AC22" i="1" s="1"/>
  <c r="AF18" i="1"/>
  <c r="AE18" i="1"/>
  <c r="AD18" i="1"/>
  <c r="AC18" i="1"/>
  <c r="AF17" i="1"/>
  <c r="AF20" i="1" s="1"/>
  <c r="AE17" i="1"/>
  <c r="AE20" i="1" s="1"/>
  <c r="AD17" i="1"/>
  <c r="AD20" i="1" s="1"/>
  <c r="AC17" i="1"/>
  <c r="AC20" i="1" s="1"/>
  <c r="AW60" i="7" l="1"/>
  <c r="BB60" i="7"/>
  <c r="AP60" i="7"/>
  <c r="BD60" i="7"/>
  <c r="BK60" i="7"/>
  <c r="BF60" i="7"/>
  <c r="BM60" i="7"/>
  <c r="AZ60" i="7"/>
  <c r="BI60" i="7"/>
  <c r="L21" i="8"/>
  <c r="AB20" i="1"/>
  <c r="AB18" i="1" s="1"/>
  <c r="AB21" i="1" s="1"/>
  <c r="AA20" i="1"/>
  <c r="AA18" i="1" s="1"/>
  <c r="AA21" i="1" s="1"/>
  <c r="Z20" i="1"/>
  <c r="Z18" i="1" s="1"/>
  <c r="Z21" i="1" s="1"/>
  <c r="Y20" i="1"/>
  <c r="Y18" i="1" s="1"/>
  <c r="Y21" i="1" s="1"/>
  <c r="E46" i="1" l="1"/>
  <c r="F46" i="1"/>
  <c r="G46" i="1"/>
  <c r="H46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H17" i="1" s="1"/>
  <c r="H47" i="1" s="1"/>
  <c r="G16" i="1"/>
  <c r="G17" i="1" s="1"/>
  <c r="G47" i="1" s="1"/>
  <c r="F16" i="1"/>
  <c r="F17" i="1" s="1"/>
  <c r="F47" i="1" s="1"/>
  <c r="E16" i="1"/>
  <c r="D16" i="1"/>
  <c r="C16" i="1"/>
  <c r="C47" i="1" s="1"/>
  <c r="P7" i="1"/>
  <c r="M7" i="1"/>
  <c r="L7" i="1"/>
  <c r="P5" i="1"/>
  <c r="L5" i="1"/>
  <c r="M5" i="1"/>
  <c r="M6" i="1"/>
  <c r="N5" i="1"/>
  <c r="N7" i="1" s="1"/>
  <c r="H12" i="1"/>
  <c r="G12" i="1"/>
  <c r="F12" i="1"/>
  <c r="E12" i="1"/>
  <c r="H4" i="1"/>
  <c r="G4" i="1"/>
  <c r="F4" i="1"/>
  <c r="E4" i="1"/>
  <c r="D46" i="1"/>
  <c r="C46" i="1"/>
  <c r="A11" i="8"/>
  <c r="P4" i="1"/>
  <c r="P6" i="1" s="1"/>
  <c r="O4" i="1"/>
  <c r="N4" i="1"/>
  <c r="M4" i="1"/>
  <c r="L4" i="1"/>
  <c r="K4" i="1"/>
  <c r="K5" i="1" s="1"/>
  <c r="K7" i="1" s="1"/>
  <c r="J4" i="1"/>
  <c r="I4" i="1"/>
  <c r="I5" i="1" s="1"/>
  <c r="I7" i="1" s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O5" i="1" l="1"/>
  <c r="O7" i="1" s="1"/>
  <c r="E5" i="1"/>
  <c r="E7" i="1" s="1"/>
  <c r="F5" i="1"/>
  <c r="F7" i="1" s="1"/>
  <c r="G5" i="1"/>
  <c r="G7" i="1" s="1"/>
  <c r="H5" i="1"/>
  <c r="H7" i="1" s="1"/>
  <c r="N6" i="1"/>
  <c r="O6" i="1"/>
  <c r="J5" i="1"/>
  <c r="J7" i="1" s="1"/>
  <c r="E17" i="1"/>
  <c r="E47" i="1" s="1"/>
  <c r="T84" i="7" l="1"/>
  <c r="S80" i="7"/>
  <c r="S79" i="7"/>
  <c r="R85" i="7"/>
  <c r="T86" i="7"/>
  <c r="T85" i="7"/>
  <c r="T82" i="7"/>
  <c r="T83" i="7"/>
  <c r="T81" i="7"/>
  <c r="T77" i="7"/>
  <c r="T74" i="7"/>
  <c r="R75" i="7" s="1"/>
  <c r="R77" i="7" l="1"/>
  <c r="R78" i="7"/>
  <c r="S75" i="7"/>
  <c r="R74" i="7" s="1"/>
  <c r="R88" i="7" s="1"/>
  <c r="C8" i="8"/>
  <c r="R86" i="7"/>
  <c r="Q9" i="7"/>
  <c r="Q66" i="7" s="1"/>
  <c r="R9" i="7"/>
  <c r="R66" i="7" s="1"/>
  <c r="S9" i="7"/>
  <c r="S66" i="7" s="1"/>
  <c r="T9" i="7"/>
  <c r="T66" i="7" s="1"/>
  <c r="U9" i="7"/>
  <c r="U66" i="7" s="1"/>
  <c r="V9" i="7"/>
  <c r="V66" i="7" s="1"/>
  <c r="W9" i="7"/>
  <c r="W66" i="7" s="1"/>
  <c r="X9" i="7"/>
  <c r="X66" i="7" s="1"/>
  <c r="X69" i="7" s="1"/>
  <c r="R89" i="7" l="1"/>
  <c r="BM9" i="7"/>
  <c r="BL9" i="7"/>
  <c r="BK9" i="7"/>
  <c r="BJ9" i="7"/>
  <c r="BI9" i="7"/>
  <c r="BH9" i="7"/>
  <c r="BG9" i="7"/>
  <c r="BF9" i="7"/>
  <c r="BE9" i="7"/>
  <c r="BD9" i="7"/>
  <c r="BC9" i="7"/>
  <c r="BB9" i="7"/>
  <c r="BA9" i="7"/>
  <c r="AZ9" i="7"/>
  <c r="AY9" i="7"/>
  <c r="AX9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Y66" i="7" s="1"/>
  <c r="Y69" i="7" s="1"/>
  <c r="T10" i="7"/>
  <c r="S10" i="7"/>
  <c r="R10" i="7"/>
  <c r="Q10" i="7"/>
  <c r="BM39" i="7"/>
  <c r="BM52" i="7" s="1"/>
  <c r="BL39" i="7"/>
  <c r="BL52" i="7" s="1"/>
  <c r="BK39" i="7"/>
  <c r="BK52" i="7" s="1"/>
  <c r="BJ39" i="7"/>
  <c r="BJ52" i="7" s="1"/>
  <c r="BI39" i="7"/>
  <c r="BH39" i="7"/>
  <c r="BH52" i="7" s="1"/>
  <c r="BG39" i="7"/>
  <c r="BF39" i="7"/>
  <c r="BF52" i="7" s="1"/>
  <c r="BE39" i="7"/>
  <c r="BE52" i="7" s="1"/>
  <c r="BD39" i="7"/>
  <c r="BD52" i="7" s="1"/>
  <c r="BC39" i="7"/>
  <c r="BC52" i="7" s="1"/>
  <c r="BB39" i="7"/>
  <c r="BB52" i="7" s="1"/>
  <c r="BA39" i="7"/>
  <c r="AZ39" i="7"/>
  <c r="AZ52" i="7" s="1"/>
  <c r="AY39" i="7"/>
  <c r="AX39" i="7"/>
  <c r="AX52" i="7" s="1"/>
  <c r="AW39" i="7"/>
  <c r="AW52" i="7" s="1"/>
  <c r="AV39" i="7"/>
  <c r="AV52" i="7" s="1"/>
  <c r="AV53" i="7" s="1"/>
  <c r="AU39" i="7"/>
  <c r="AU52" i="7" s="1"/>
  <c r="AU53" i="7" s="1"/>
  <c r="AT39" i="7"/>
  <c r="AT52" i="7" s="1"/>
  <c r="AT53" i="7" s="1"/>
  <c r="AS39" i="7"/>
  <c r="AR39" i="7"/>
  <c r="AR52" i="7" s="1"/>
  <c r="AR53" i="7" s="1"/>
  <c r="AQ39" i="7"/>
  <c r="AP39" i="7"/>
  <c r="AO39" i="7"/>
  <c r="AO52" i="7" s="1"/>
  <c r="AO53" i="7" s="1"/>
  <c r="AN39" i="7"/>
  <c r="AN52" i="7" s="1"/>
  <c r="AN53" i="7" s="1"/>
  <c r="AM39" i="7"/>
  <c r="AM52" i="7" s="1"/>
  <c r="AM53" i="7" s="1"/>
  <c r="AL39" i="7"/>
  <c r="AL52" i="7" s="1"/>
  <c r="AL53" i="7" s="1"/>
  <c r="AK39" i="7"/>
  <c r="AJ39" i="7"/>
  <c r="AI39" i="7"/>
  <c r="AE39" i="7"/>
  <c r="AE52" i="7" s="1"/>
  <c r="AE53" i="7" s="1"/>
  <c r="AD39" i="7"/>
  <c r="AD52" i="7" s="1"/>
  <c r="AD53" i="7" s="1"/>
  <c r="AC39" i="7"/>
  <c r="AB39" i="7"/>
  <c r="AB52" i="7" s="1"/>
  <c r="AB53" i="7" s="1"/>
  <c r="AA39" i="7"/>
  <c r="Z39" i="7"/>
  <c r="Z52" i="7" s="1"/>
  <c r="Z53" i="7" s="1"/>
  <c r="W39" i="7"/>
  <c r="W52" i="7" s="1"/>
  <c r="W53" i="7" s="1"/>
  <c r="V39" i="7"/>
  <c r="V52" i="7" s="1"/>
  <c r="V53" i="7" s="1"/>
  <c r="U39" i="7"/>
  <c r="U52" i="7" s="1"/>
  <c r="U53" i="7" s="1"/>
  <c r="T39" i="7"/>
  <c r="T52" i="7" s="1"/>
  <c r="T53" i="7" s="1"/>
  <c r="S39" i="7"/>
  <c r="S52" i="7" s="1"/>
  <c r="S53" i="7" s="1"/>
  <c r="R39" i="7"/>
  <c r="R52" i="7" s="1"/>
  <c r="R53" i="7" s="1"/>
  <c r="Q39" i="7"/>
  <c r="Q52" i="7" s="1"/>
  <c r="Q53" i="7" s="1"/>
  <c r="P39" i="7"/>
  <c r="O39" i="7"/>
  <c r="N39" i="7"/>
  <c r="M39" i="7"/>
  <c r="M40" i="7" s="1"/>
  <c r="L39" i="7"/>
  <c r="K39" i="7"/>
  <c r="K40" i="7" s="1"/>
  <c r="J39" i="7"/>
  <c r="J40" i="7" s="1"/>
  <c r="I39" i="7"/>
  <c r="H39" i="7"/>
  <c r="G39" i="7"/>
  <c r="G40" i="7" s="1"/>
  <c r="F39" i="7"/>
  <c r="F40" i="7" s="1"/>
  <c r="E39" i="7"/>
  <c r="E40" i="7" s="1"/>
  <c r="D39" i="7"/>
  <c r="C39" i="7"/>
  <c r="BM14" i="7"/>
  <c r="BL14" i="7"/>
  <c r="BK14" i="7"/>
  <c r="BJ14" i="7"/>
  <c r="BI14" i="7"/>
  <c r="BH14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B16" i="8" s="1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K16" i="8" s="1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P46" i="1" s="1"/>
  <c r="O12" i="1"/>
  <c r="O46" i="1" s="1"/>
  <c r="N12" i="1"/>
  <c r="N46" i="1" s="1"/>
  <c r="M12" i="1"/>
  <c r="M46" i="1" s="1"/>
  <c r="L12" i="1"/>
  <c r="L46" i="1" s="1"/>
  <c r="K12" i="1"/>
  <c r="K46" i="1" s="1"/>
  <c r="J12" i="1"/>
  <c r="J46" i="1" s="1"/>
  <c r="I12" i="1"/>
  <c r="I46" i="1" s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D59" i="7" l="1"/>
  <c r="BJ59" i="7"/>
  <c r="Z10" i="7"/>
  <c r="Z66" i="7"/>
  <c r="AX10" i="7"/>
  <c r="AX11" i="7" s="1"/>
  <c r="AX12" i="7" s="1"/>
  <c r="AX13" i="7" s="1"/>
  <c r="AX66" i="7"/>
  <c r="W59" i="7"/>
  <c r="BC59" i="7"/>
  <c r="AA10" i="7"/>
  <c r="AA66" i="7"/>
  <c r="AF64" i="7"/>
  <c r="AF59" i="7"/>
  <c r="BL59" i="7"/>
  <c r="AW54" i="7"/>
  <c r="AW53" i="7"/>
  <c r="AB10" i="7"/>
  <c r="AB66" i="7"/>
  <c r="AJ10" i="7"/>
  <c r="AJ11" i="7" s="1"/>
  <c r="AJ12" i="7" s="1"/>
  <c r="AJ13" i="7" s="1"/>
  <c r="AJ66" i="7"/>
  <c r="AR10" i="7"/>
  <c r="AR11" i="7" s="1"/>
  <c r="AR12" i="7" s="1"/>
  <c r="AR13" i="7" s="1"/>
  <c r="AR66" i="7"/>
  <c r="AZ10" i="7"/>
  <c r="AZ11" i="7" s="1"/>
  <c r="AZ12" i="7" s="1"/>
  <c r="AZ13" i="7" s="1"/>
  <c r="AZ66" i="7"/>
  <c r="I59" i="7"/>
  <c r="Q64" i="7"/>
  <c r="Q59" i="7"/>
  <c r="Y64" i="7"/>
  <c r="Y59" i="7"/>
  <c r="AG64" i="7"/>
  <c r="AG59" i="7"/>
  <c r="AO59" i="7"/>
  <c r="AW59" i="7"/>
  <c r="BE59" i="7"/>
  <c r="BM59" i="7"/>
  <c r="E41" i="7"/>
  <c r="E61" i="7"/>
  <c r="M41" i="7"/>
  <c r="M42" i="7" s="1"/>
  <c r="M61" i="7"/>
  <c r="AP40" i="7"/>
  <c r="AP52" i="7"/>
  <c r="AP53" i="7" s="1"/>
  <c r="AX53" i="7"/>
  <c r="AX54" i="7"/>
  <c r="BF53" i="7"/>
  <c r="BF54" i="7"/>
  <c r="AC10" i="7"/>
  <c r="AC11" i="7" s="1"/>
  <c r="AC12" i="7" s="1"/>
  <c r="AC66" i="7"/>
  <c r="AK10" i="7"/>
  <c r="AK11" i="7" s="1"/>
  <c r="AK12" i="7" s="1"/>
  <c r="AK13" i="7" s="1"/>
  <c r="AK66" i="7"/>
  <c r="AS10" i="7"/>
  <c r="AS11" i="7" s="1"/>
  <c r="AS12" i="7" s="1"/>
  <c r="AS13" i="7" s="1"/>
  <c r="AS66" i="7"/>
  <c r="BA10" i="7"/>
  <c r="BA11" i="7" s="1"/>
  <c r="BA12" i="7" s="1"/>
  <c r="BA13" i="7" s="1"/>
  <c r="BA66" i="7"/>
  <c r="BI10" i="7"/>
  <c r="BI11" i="7" s="1"/>
  <c r="BI12" i="7" s="1"/>
  <c r="BI13" i="7" s="1"/>
  <c r="BI66" i="7"/>
  <c r="N59" i="7"/>
  <c r="AT59" i="7"/>
  <c r="AP10" i="7"/>
  <c r="AP11" i="7" s="1"/>
  <c r="AP12" i="7" s="1"/>
  <c r="AP13" i="7" s="1"/>
  <c r="AP66" i="7"/>
  <c r="G64" i="7"/>
  <c r="G59" i="7"/>
  <c r="AM59" i="7"/>
  <c r="BD53" i="7"/>
  <c r="BD54" i="7"/>
  <c r="AQ10" i="7"/>
  <c r="AQ11" i="7" s="1"/>
  <c r="AQ12" i="7" s="1"/>
  <c r="AQ13" i="7" s="1"/>
  <c r="AQ66" i="7"/>
  <c r="H64" i="7"/>
  <c r="H59" i="7"/>
  <c r="AV59" i="7"/>
  <c r="BH10" i="7"/>
  <c r="BH11" i="7" s="1"/>
  <c r="BH12" i="7" s="1"/>
  <c r="BH13" i="7" s="1"/>
  <c r="BH66" i="7"/>
  <c r="J64" i="7"/>
  <c r="J59" i="7"/>
  <c r="R64" i="7"/>
  <c r="R59" i="7"/>
  <c r="Z59" i="7"/>
  <c r="AH64" i="7"/>
  <c r="AH59" i="7"/>
  <c r="AP64" i="7"/>
  <c r="AP59" i="7"/>
  <c r="AX64" i="7"/>
  <c r="AX59" i="7"/>
  <c r="BF59" i="7"/>
  <c r="F41" i="7"/>
  <c r="F61" i="7" s="1"/>
  <c r="AI40" i="7"/>
  <c r="AI52" i="7"/>
  <c r="AI53" i="7" s="1"/>
  <c r="AQ40" i="7"/>
  <c r="AQ52" i="7"/>
  <c r="AQ53" i="7" s="1"/>
  <c r="AY40" i="7"/>
  <c r="AY52" i="7"/>
  <c r="BG40" i="7"/>
  <c r="BG52" i="7"/>
  <c r="AD10" i="7"/>
  <c r="AD66" i="7"/>
  <c r="AL10" i="7"/>
  <c r="AL66" i="7"/>
  <c r="AT10" i="7"/>
  <c r="AT11" i="7" s="1"/>
  <c r="AT12" i="7" s="1"/>
  <c r="AT13" i="7" s="1"/>
  <c r="AT66" i="7"/>
  <c r="BB10" i="7"/>
  <c r="BB11" i="7" s="1"/>
  <c r="BB12" i="7" s="1"/>
  <c r="BB13" i="7" s="1"/>
  <c r="BB66" i="7"/>
  <c r="BJ10" i="7"/>
  <c r="BJ11" i="7" s="1"/>
  <c r="BJ12" i="7" s="1"/>
  <c r="BJ13" i="7" s="1"/>
  <c r="BJ66" i="7"/>
  <c r="V64" i="7"/>
  <c r="V59" i="7"/>
  <c r="BB59" i="7"/>
  <c r="J41" i="7"/>
  <c r="J42" i="7" s="1"/>
  <c r="BC53" i="7"/>
  <c r="BC54" i="7"/>
  <c r="AH10" i="7"/>
  <c r="AH11" i="7" s="1"/>
  <c r="AH12" i="7" s="1"/>
  <c r="AH13" i="7" s="1"/>
  <c r="AH66" i="7"/>
  <c r="BK59" i="7"/>
  <c r="G61" i="7"/>
  <c r="AJ40" i="7"/>
  <c r="AJ52" i="7"/>
  <c r="AJ53" i="7" s="1"/>
  <c r="AZ53" i="7"/>
  <c r="AZ54" i="7"/>
  <c r="BH53" i="7"/>
  <c r="BH54" i="7"/>
  <c r="AE10" i="7"/>
  <c r="AE66" i="7"/>
  <c r="AM10" i="7"/>
  <c r="AM11" i="7" s="1"/>
  <c r="AM12" i="7" s="1"/>
  <c r="AM13" i="7" s="1"/>
  <c r="AM66" i="7"/>
  <c r="AU10" i="7"/>
  <c r="AU11" i="7" s="1"/>
  <c r="AU12" i="7" s="1"/>
  <c r="AU13" i="7" s="1"/>
  <c r="AU66" i="7"/>
  <c r="BC10" i="7"/>
  <c r="BC11" i="7" s="1"/>
  <c r="BC12" i="7" s="1"/>
  <c r="BC13" i="7" s="1"/>
  <c r="BC66" i="7"/>
  <c r="BK10" i="7"/>
  <c r="BK11" i="7" s="1"/>
  <c r="BK12" i="7" s="1"/>
  <c r="BK13" i="7" s="1"/>
  <c r="BK66" i="7"/>
  <c r="F64" i="7"/>
  <c r="F59" i="7"/>
  <c r="AL59" i="7"/>
  <c r="BK53" i="7"/>
  <c r="BK54" i="7"/>
  <c r="BF10" i="7"/>
  <c r="BF11" i="7" s="1"/>
  <c r="BF12" i="7" s="1"/>
  <c r="BF13" i="7" s="1"/>
  <c r="BF66" i="7"/>
  <c r="AE59" i="7"/>
  <c r="C40" i="7"/>
  <c r="F27" i="8"/>
  <c r="B26" i="8"/>
  <c r="E27" i="8"/>
  <c r="D27" i="8"/>
  <c r="O27" i="8"/>
  <c r="C27" i="8"/>
  <c r="N27" i="8"/>
  <c r="B27" i="8"/>
  <c r="M27" i="8"/>
  <c r="M26" i="8"/>
  <c r="L27" i="8"/>
  <c r="K27" i="8"/>
  <c r="D26" i="8"/>
  <c r="AY10" i="7"/>
  <c r="AY11" i="7" s="1"/>
  <c r="AY12" i="7" s="1"/>
  <c r="AY13" i="7" s="1"/>
  <c r="AY66" i="7"/>
  <c r="P64" i="7"/>
  <c r="P59" i="7"/>
  <c r="AN59" i="7"/>
  <c r="BM53" i="7"/>
  <c r="BM54" i="7"/>
  <c r="K64" i="7"/>
  <c r="K59" i="7"/>
  <c r="AA59" i="7"/>
  <c r="AA64" i="7"/>
  <c r="AQ59" i="7"/>
  <c r="BG64" i="7"/>
  <c r="BG59" i="7"/>
  <c r="L59" i="7"/>
  <c r="AJ59" i="7"/>
  <c r="AJ64" i="7"/>
  <c r="BH59" i="7"/>
  <c r="AK40" i="7"/>
  <c r="AK61" i="7" s="1"/>
  <c r="AK52" i="7"/>
  <c r="AK53" i="7" s="1"/>
  <c r="AS40" i="7"/>
  <c r="AS52" i="7"/>
  <c r="AS53" i="7" s="1"/>
  <c r="BA40" i="7"/>
  <c r="BA52" i="7"/>
  <c r="BI40" i="7"/>
  <c r="BI52" i="7"/>
  <c r="AF10" i="7"/>
  <c r="AF66" i="7"/>
  <c r="AN10" i="7"/>
  <c r="AN11" i="7" s="1"/>
  <c r="AN12" i="7" s="1"/>
  <c r="AN13" i="7" s="1"/>
  <c r="AN66" i="7"/>
  <c r="AV10" i="7"/>
  <c r="AV11" i="7" s="1"/>
  <c r="AV12" i="7" s="1"/>
  <c r="AV13" i="7" s="1"/>
  <c r="AV66" i="7"/>
  <c r="BD10" i="7"/>
  <c r="BD11" i="7" s="1"/>
  <c r="BD12" i="7" s="1"/>
  <c r="BD13" i="7" s="1"/>
  <c r="BD66" i="7"/>
  <c r="BL10" i="7"/>
  <c r="BL11" i="7" s="1"/>
  <c r="BL12" i="7" s="1"/>
  <c r="BL13" i="7" s="1"/>
  <c r="BL66" i="7"/>
  <c r="O59" i="7"/>
  <c r="AU59" i="7"/>
  <c r="AU64" i="7"/>
  <c r="K41" i="7"/>
  <c r="K42" i="7" s="1"/>
  <c r="K61" i="7"/>
  <c r="AC40" i="7"/>
  <c r="AC52" i="7"/>
  <c r="AC53" i="7" s="1"/>
  <c r="BL53" i="7"/>
  <c r="BL54" i="7"/>
  <c r="AI10" i="7"/>
  <c r="AI11" i="7" s="1"/>
  <c r="AI12" i="7" s="1"/>
  <c r="AI13" i="7" s="1"/>
  <c r="AI66" i="7"/>
  <c r="BG10" i="7"/>
  <c r="BG11" i="7" s="1"/>
  <c r="BG12" i="7" s="1"/>
  <c r="BG13" i="7" s="1"/>
  <c r="BG66" i="7"/>
  <c r="X64" i="7"/>
  <c r="X59" i="7"/>
  <c r="BD59" i="7"/>
  <c r="BE53" i="7"/>
  <c r="BE54" i="7"/>
  <c r="S59" i="7"/>
  <c r="AI59" i="7"/>
  <c r="AI64" i="7"/>
  <c r="AY64" i="7"/>
  <c r="AY59" i="7"/>
  <c r="T59" i="7"/>
  <c r="T64" i="7"/>
  <c r="AB59" i="7"/>
  <c r="AR59" i="7"/>
  <c r="AZ59" i="7"/>
  <c r="E64" i="7"/>
  <c r="E59" i="7"/>
  <c r="M64" i="7"/>
  <c r="M59" i="7"/>
  <c r="U59" i="7"/>
  <c r="U64" i="7"/>
  <c r="AC59" i="7"/>
  <c r="AC64" i="7"/>
  <c r="AK59" i="7"/>
  <c r="AK64" i="7"/>
  <c r="AS59" i="7"/>
  <c r="AS64" i="7"/>
  <c r="BA59" i="7"/>
  <c r="BI59" i="7"/>
  <c r="BI64" i="7"/>
  <c r="AA40" i="7"/>
  <c r="AA52" i="7"/>
  <c r="AA53" i="7" s="1"/>
  <c r="BB53" i="7"/>
  <c r="BB54" i="7"/>
  <c r="BJ53" i="7"/>
  <c r="BJ54" i="7"/>
  <c r="AG10" i="7"/>
  <c r="AG11" i="7" s="1"/>
  <c r="AG12" i="7" s="1"/>
  <c r="AG13" i="7" s="1"/>
  <c r="AG66" i="7"/>
  <c r="AG69" i="7" s="1"/>
  <c r="AO10" i="7"/>
  <c r="AO11" i="7" s="1"/>
  <c r="AO12" i="7" s="1"/>
  <c r="AO13" i="7" s="1"/>
  <c r="AO66" i="7"/>
  <c r="AW10" i="7"/>
  <c r="AW11" i="7" s="1"/>
  <c r="AW12" i="7" s="1"/>
  <c r="AW13" i="7" s="1"/>
  <c r="AW66" i="7"/>
  <c r="BE10" i="7"/>
  <c r="BE11" i="7" s="1"/>
  <c r="BE12" i="7" s="1"/>
  <c r="BE13" i="7" s="1"/>
  <c r="BE66" i="7"/>
  <c r="BM10" i="7"/>
  <c r="BM11" i="7" s="1"/>
  <c r="BM12" i="7" s="1"/>
  <c r="BM13" i="7" s="1"/>
  <c r="BM66" i="7"/>
  <c r="R11" i="7"/>
  <c r="T11" i="7"/>
  <c r="AA11" i="7"/>
  <c r="AA12" i="7" s="1"/>
  <c r="AB11" i="7"/>
  <c r="AB12" i="7" s="1"/>
  <c r="Q11" i="7"/>
  <c r="S11" i="7"/>
  <c r="Z11" i="7"/>
  <c r="Z12" i="7" s="1"/>
  <c r="S40" i="7"/>
  <c r="S61" i="7" s="1"/>
  <c r="AF11" i="7"/>
  <c r="AF12" i="7" s="1"/>
  <c r="U40" i="7"/>
  <c r="AD11" i="7"/>
  <c r="AD12" i="7" s="1"/>
  <c r="AE11" i="7"/>
  <c r="AE12" i="7" s="1"/>
  <c r="U10" i="7"/>
  <c r="V10" i="7"/>
  <c r="W10" i="7"/>
  <c r="X10" i="7"/>
  <c r="Y10" i="7"/>
  <c r="K12" i="8" s="1"/>
  <c r="AK41" i="7"/>
  <c r="AK42" i="7" s="1"/>
  <c r="AJ41" i="7"/>
  <c r="AJ42" i="7" s="1"/>
  <c r="AI41" i="7"/>
  <c r="AI42" i="7" s="1"/>
  <c r="AH41" i="7"/>
  <c r="AF41" i="7"/>
  <c r="AE41" i="7"/>
  <c r="AE42" i="7" s="1"/>
  <c r="AD41" i="7"/>
  <c r="AD42" i="7" s="1"/>
  <c r="AC41" i="7"/>
  <c r="AC42" i="7" s="1"/>
  <c r="AB41" i="7"/>
  <c r="AB42" i="7" s="1"/>
  <c r="AA41" i="7"/>
  <c r="AA42" i="7" s="1"/>
  <c r="Z41" i="7"/>
  <c r="Z42" i="7" s="1"/>
  <c r="AX40" i="7"/>
  <c r="AX61" i="7" s="1"/>
  <c r="G41" i="7"/>
  <c r="AB40" i="7"/>
  <c r="AB61" i="7" s="1"/>
  <c r="BJ41" i="7"/>
  <c r="BJ42" i="7" s="1"/>
  <c r="AR40" i="7"/>
  <c r="AR61" i="7" s="1"/>
  <c r="BH40" i="7"/>
  <c r="BH64" i="7" s="1"/>
  <c r="BF41" i="7"/>
  <c r="BF42" i="7" s="1"/>
  <c r="L40" i="7"/>
  <c r="L64" i="7" s="1"/>
  <c r="R40" i="7"/>
  <c r="R61" i="7" s="1"/>
  <c r="N40" i="7"/>
  <c r="AD40" i="7"/>
  <c r="AT40" i="7"/>
  <c r="AT61" i="7" s="1"/>
  <c r="BJ40" i="7"/>
  <c r="BJ61" i="7" s="1"/>
  <c r="O40" i="7"/>
  <c r="O64" i="7" s="1"/>
  <c r="AE40" i="7"/>
  <c r="AE64" i="7" s="1"/>
  <c r="AU40" i="7"/>
  <c r="BK40" i="7"/>
  <c r="BK64" i="7" s="1"/>
  <c r="BB41" i="7"/>
  <c r="BB42" i="7" s="1"/>
  <c r="D40" i="7"/>
  <c r="T40" i="7"/>
  <c r="T61" i="7" s="1"/>
  <c r="AZ40" i="7"/>
  <c r="AZ64" i="7" s="1"/>
  <c r="V40" i="7"/>
  <c r="AL40" i="7"/>
  <c r="AL64" i="7" s="1"/>
  <c r="BB40" i="7"/>
  <c r="BB61" i="7" s="1"/>
  <c r="W40" i="7"/>
  <c r="W61" i="7" s="1"/>
  <c r="AM40" i="7"/>
  <c r="BC40" i="7"/>
  <c r="Z40" i="7"/>
  <c r="Z61" i="7" s="1"/>
  <c r="BF40" i="7"/>
  <c r="BF61" i="7" s="1"/>
  <c r="AT41" i="7"/>
  <c r="AT42" i="7" s="1"/>
  <c r="AX41" i="7"/>
  <c r="AX42" i="7" s="1"/>
  <c r="F57" i="7"/>
  <c r="V41" i="7"/>
  <c r="V42" i="7" s="1"/>
  <c r="H40" i="7"/>
  <c r="P40" i="7"/>
  <c r="AN40" i="7"/>
  <c r="AN61" i="7" s="1"/>
  <c r="AV40" i="7"/>
  <c r="AV61" i="7" s="1"/>
  <c r="BD40" i="7"/>
  <c r="BD64" i="7" s="1"/>
  <c r="BL40" i="7"/>
  <c r="W41" i="7"/>
  <c r="W42" i="7" s="1"/>
  <c r="U41" i="7"/>
  <c r="U42" i="7" s="1"/>
  <c r="I40" i="7"/>
  <c r="Q40" i="7"/>
  <c r="AO40" i="7"/>
  <c r="AO64" i="7" s="1"/>
  <c r="AW40" i="7"/>
  <c r="AW61" i="7" s="1"/>
  <c r="BE40" i="7"/>
  <c r="BM40" i="7"/>
  <c r="BM64" i="7" s="1"/>
  <c r="Q41" i="7"/>
  <c r="Q42" i="7" s="1"/>
  <c r="BI41" i="7"/>
  <c r="BI42" i="7" s="1"/>
  <c r="BA41" i="7"/>
  <c r="BA42" i="7" s="1"/>
  <c r="AS41" i="7"/>
  <c r="AS42" i="7" s="1"/>
  <c r="BH41" i="7"/>
  <c r="BH42" i="7" s="1"/>
  <c r="AZ41" i="7"/>
  <c r="AZ42" i="7" s="1"/>
  <c r="AR41" i="7"/>
  <c r="AR42" i="7" s="1"/>
  <c r="BG41" i="7"/>
  <c r="BG42" i="7" s="1"/>
  <c r="AY41" i="7"/>
  <c r="AY42" i="7" s="1"/>
  <c r="AQ41" i="7"/>
  <c r="AQ42" i="7" s="1"/>
  <c r="BM41" i="7"/>
  <c r="BM42" i="7" s="1"/>
  <c r="BE41" i="7"/>
  <c r="BE42" i="7" s="1"/>
  <c r="AW41" i="7"/>
  <c r="AW42" i="7" s="1"/>
  <c r="AO41" i="7"/>
  <c r="AO42" i="7" s="1"/>
  <c r="BL41" i="7"/>
  <c r="BL42" i="7" s="1"/>
  <c r="BD41" i="7"/>
  <c r="BD42" i="7" s="1"/>
  <c r="AV41" i="7"/>
  <c r="AV42" i="7" s="1"/>
  <c r="AN41" i="7"/>
  <c r="AN42" i="7" s="1"/>
  <c r="BK41" i="7"/>
  <c r="BK42" i="7" s="1"/>
  <c r="BC41" i="7"/>
  <c r="BC42" i="7" s="1"/>
  <c r="AU41" i="7"/>
  <c r="AU42" i="7" s="1"/>
  <c r="AM41" i="7"/>
  <c r="AM42" i="7" s="1"/>
  <c r="R41" i="7"/>
  <c r="R42" i="7" s="1"/>
  <c r="S41" i="7"/>
  <c r="S42" i="7" s="1"/>
  <c r="AL41" i="7"/>
  <c r="AL42" i="7" s="1"/>
  <c r="T41" i="7"/>
  <c r="T42" i="7" s="1"/>
  <c r="AP41" i="7"/>
  <c r="AP42" i="7" s="1"/>
  <c r="AO45" i="7" l="1"/>
  <c r="AO49" i="7"/>
  <c r="AO68" i="7"/>
  <c r="AO44" i="7"/>
  <c r="AO48" i="7"/>
  <c r="AO43" i="7"/>
  <c r="AO46" i="7"/>
  <c r="AO47" i="7"/>
  <c r="AO50" i="7"/>
  <c r="BE45" i="7"/>
  <c r="BE49" i="7"/>
  <c r="BE68" i="7"/>
  <c r="BE69" i="7" s="1"/>
  <c r="BE44" i="7"/>
  <c r="BE48" i="7"/>
  <c r="BE43" i="7"/>
  <c r="BE46" i="7"/>
  <c r="BE50" i="7"/>
  <c r="BE47" i="7"/>
  <c r="Q61" i="7"/>
  <c r="BC61" i="7"/>
  <c r="AD61" i="7"/>
  <c r="AE68" i="7"/>
  <c r="AE45" i="7"/>
  <c r="AE49" i="7"/>
  <c r="AE44" i="7"/>
  <c r="AE43" i="7"/>
  <c r="AE47" i="7"/>
  <c r="AE50" i="7"/>
  <c r="AE46" i="7"/>
  <c r="AE48" i="7"/>
  <c r="L12" i="8"/>
  <c r="BH68" i="7"/>
  <c r="BH43" i="7"/>
  <c r="BH47" i="7"/>
  <c r="BH46" i="7"/>
  <c r="BH45" i="7"/>
  <c r="BH48" i="7"/>
  <c r="BH50" i="7"/>
  <c r="BH44" i="7"/>
  <c r="BH49" i="7"/>
  <c r="AD68" i="7"/>
  <c r="AD69" i="7" s="1"/>
  <c r="AD44" i="7"/>
  <c r="AD48" i="7"/>
  <c r="AD43" i="7"/>
  <c r="AD47" i="7"/>
  <c r="AD45" i="7"/>
  <c r="AD50" i="7"/>
  <c r="AD49" i="7"/>
  <c r="AD46" i="7"/>
  <c r="AA61" i="7"/>
  <c r="AL11" i="7"/>
  <c r="B12" i="8"/>
  <c r="M68" i="7"/>
  <c r="M69" i="7" s="1"/>
  <c r="M47" i="7"/>
  <c r="M48" i="7"/>
  <c r="M50" i="7"/>
  <c r="M45" i="7"/>
  <c r="M44" i="7"/>
  <c r="M43" i="7"/>
  <c r="M46" i="7"/>
  <c r="M49" i="7"/>
  <c r="AW64" i="7"/>
  <c r="BC68" i="7"/>
  <c r="BC44" i="7"/>
  <c r="BC48" i="7"/>
  <c r="BC43" i="7"/>
  <c r="BC47" i="7"/>
  <c r="BC49" i="7"/>
  <c r="BC50" i="7"/>
  <c r="BC46" i="7"/>
  <c r="BC45" i="7"/>
  <c r="AS68" i="7"/>
  <c r="AS43" i="7"/>
  <c r="AS47" i="7"/>
  <c r="AS46" i="7"/>
  <c r="AS50" i="7"/>
  <c r="AS45" i="7"/>
  <c r="AS44" i="7"/>
  <c r="AS48" i="7"/>
  <c r="AS49" i="7"/>
  <c r="P41" i="7"/>
  <c r="P42" i="7" s="1"/>
  <c r="P61" i="7"/>
  <c r="BJ69" i="7"/>
  <c r="AP46" i="7"/>
  <c r="AP50" i="7"/>
  <c r="AP45" i="7"/>
  <c r="AP68" i="7"/>
  <c r="AP69" i="7" s="1"/>
  <c r="AP44" i="7"/>
  <c r="AP49" i="7"/>
  <c r="AP43" i="7"/>
  <c r="AP47" i="7"/>
  <c r="AP48" i="7"/>
  <c r="BK68" i="7"/>
  <c r="BK44" i="7"/>
  <c r="BK48" i="7"/>
  <c r="BK43" i="7"/>
  <c r="BK47" i="7"/>
  <c r="BK49" i="7"/>
  <c r="BK45" i="7"/>
  <c r="BK46" i="7"/>
  <c r="BK50" i="7"/>
  <c r="BM45" i="7"/>
  <c r="BM49" i="7"/>
  <c r="BM44" i="7"/>
  <c r="BM48" i="7"/>
  <c r="BM43" i="7"/>
  <c r="BM68" i="7"/>
  <c r="BM69" i="7" s="1"/>
  <c r="BM46" i="7"/>
  <c r="BM50" i="7"/>
  <c r="BM47" i="7"/>
  <c r="BA43" i="7"/>
  <c r="BA47" i="7"/>
  <c r="BA46" i="7"/>
  <c r="BA50" i="7"/>
  <c r="BA49" i="7"/>
  <c r="BA44" i="7"/>
  <c r="BA45" i="7"/>
  <c r="BA48" i="7"/>
  <c r="I41" i="7"/>
  <c r="I42" i="7" s="1"/>
  <c r="I61" i="7"/>
  <c r="H61" i="7"/>
  <c r="AM61" i="7"/>
  <c r="BB68" i="7"/>
  <c r="BB44" i="7"/>
  <c r="BB48" i="7"/>
  <c r="BB43" i="7"/>
  <c r="BB47" i="7"/>
  <c r="BB46" i="7"/>
  <c r="BB49" i="7"/>
  <c r="BB45" i="7"/>
  <c r="BB50" i="7"/>
  <c r="AF42" i="7"/>
  <c r="AF61" i="7"/>
  <c r="AS61" i="7"/>
  <c r="AM69" i="7"/>
  <c r="AI61" i="7"/>
  <c r="I64" i="7"/>
  <c r="BA64" i="7"/>
  <c r="AR64" i="7"/>
  <c r="AJ61" i="7"/>
  <c r="J61" i="7"/>
  <c r="BB69" i="7"/>
  <c r="BG53" i="7"/>
  <c r="BG54" i="7"/>
  <c r="BG61" i="7" s="1"/>
  <c r="BH69" i="7"/>
  <c r="AT64" i="7"/>
  <c r="AS69" i="7"/>
  <c r="AZ69" i="7"/>
  <c r="BJ64" i="7"/>
  <c r="AZ61" i="7"/>
  <c r="AU68" i="7"/>
  <c r="AU44" i="7"/>
  <c r="AU48" i="7"/>
  <c r="AU43" i="7"/>
  <c r="AU47" i="7"/>
  <c r="AU50" i="7"/>
  <c r="AU45" i="7"/>
  <c r="AU46" i="7"/>
  <c r="AU49" i="7"/>
  <c r="Z46" i="7"/>
  <c r="Z50" i="7"/>
  <c r="Z45" i="7"/>
  <c r="Z49" i="7"/>
  <c r="Z68" i="7"/>
  <c r="Z69" i="7" s="1"/>
  <c r="Z44" i="7"/>
  <c r="Z43" i="7"/>
  <c r="Z48" i="7"/>
  <c r="Z47" i="7"/>
  <c r="BK69" i="7"/>
  <c r="AE69" i="7"/>
  <c r="J50" i="7"/>
  <c r="J43" i="7"/>
  <c r="J45" i="7"/>
  <c r="J68" i="7"/>
  <c r="J69" i="7" s="1"/>
  <c r="J48" i="7"/>
  <c r="J44" i="7"/>
  <c r="J47" i="7"/>
  <c r="J46" i="7"/>
  <c r="J49" i="7"/>
  <c r="BC64" i="7"/>
  <c r="AM68" i="7"/>
  <c r="AM44" i="7"/>
  <c r="AM48" i="7"/>
  <c r="AM43" i="7"/>
  <c r="AM47" i="7"/>
  <c r="AM46" i="7"/>
  <c r="AM49" i="7"/>
  <c r="AM45" i="7"/>
  <c r="AM50" i="7"/>
  <c r="AO69" i="7"/>
  <c r="AL69" i="7"/>
  <c r="AU69" i="7"/>
  <c r="AQ61" i="7"/>
  <c r="T68" i="7"/>
  <c r="T69" i="7" s="1"/>
  <c r="T43" i="7"/>
  <c r="T47" i="7"/>
  <c r="T46" i="7"/>
  <c r="T50" i="7"/>
  <c r="T45" i="7"/>
  <c r="T48" i="7"/>
  <c r="T44" i="7"/>
  <c r="T49" i="7"/>
  <c r="AQ46" i="7"/>
  <c r="AQ50" i="7"/>
  <c r="AQ45" i="7"/>
  <c r="AQ49" i="7"/>
  <c r="AQ68" i="7"/>
  <c r="AQ69" i="7" s="1"/>
  <c r="AQ44" i="7"/>
  <c r="AQ43" i="7"/>
  <c r="AQ47" i="7"/>
  <c r="AQ48" i="7"/>
  <c r="U68" i="7"/>
  <c r="U69" i="7" s="1"/>
  <c r="U44" i="7"/>
  <c r="U48" i="7"/>
  <c r="U43" i="7"/>
  <c r="U47" i="7"/>
  <c r="U46" i="7"/>
  <c r="U50" i="7"/>
  <c r="U45" i="7"/>
  <c r="U49" i="7"/>
  <c r="V68" i="7"/>
  <c r="V69" i="7" s="1"/>
  <c r="V44" i="7"/>
  <c r="V48" i="7"/>
  <c r="V43" i="7"/>
  <c r="V47" i="7"/>
  <c r="V46" i="7"/>
  <c r="V50" i="7"/>
  <c r="V45" i="7"/>
  <c r="V49" i="7"/>
  <c r="AH42" i="7"/>
  <c r="AH61" i="7"/>
  <c r="AV45" i="7"/>
  <c r="AV49" i="7"/>
  <c r="AV44" i="7"/>
  <c r="AV43" i="7"/>
  <c r="AV68" i="7"/>
  <c r="AV69" i="7" s="1"/>
  <c r="AV48" i="7"/>
  <c r="AV50" i="7"/>
  <c r="AV46" i="7"/>
  <c r="AV47" i="7"/>
  <c r="Q43" i="7"/>
  <c r="Q44" i="7"/>
  <c r="Q46" i="7"/>
  <c r="Q50" i="7"/>
  <c r="Q49" i="7"/>
  <c r="Q45" i="7"/>
  <c r="Q48" i="7"/>
  <c r="Q68" i="7"/>
  <c r="Q69" i="7" s="1"/>
  <c r="Q47" i="7"/>
  <c r="W68" i="7"/>
  <c r="W69" i="7" s="1"/>
  <c r="W45" i="7"/>
  <c r="W49" i="7"/>
  <c r="W44" i="7"/>
  <c r="W43" i="7"/>
  <c r="W47" i="7"/>
  <c r="W48" i="7"/>
  <c r="W46" i="7"/>
  <c r="W50" i="7"/>
  <c r="AU61" i="7"/>
  <c r="AI68" i="7"/>
  <c r="AI46" i="7"/>
  <c r="AI50" i="7"/>
  <c r="AI45" i="7"/>
  <c r="AI49" i="7"/>
  <c r="AI44" i="7"/>
  <c r="AI48" i="7"/>
  <c r="AI43" i="7"/>
  <c r="AI47" i="7"/>
  <c r="AC61" i="7"/>
  <c r="S43" i="7"/>
  <c r="S47" i="7"/>
  <c r="S68" i="7"/>
  <c r="S69" i="7" s="1"/>
  <c r="S46" i="7"/>
  <c r="S45" i="7"/>
  <c r="S48" i="7"/>
  <c r="S44" i="7"/>
  <c r="S50" i="7"/>
  <c r="S49" i="7"/>
  <c r="BG46" i="7"/>
  <c r="BG50" i="7"/>
  <c r="BG45" i="7"/>
  <c r="BG49" i="7"/>
  <c r="BG68" i="7"/>
  <c r="BG44" i="7"/>
  <c r="BG43" i="7"/>
  <c r="BG48" i="7"/>
  <c r="BG47" i="7"/>
  <c r="BL61" i="7"/>
  <c r="AX68" i="7"/>
  <c r="AX69" i="7" s="1"/>
  <c r="AX46" i="7"/>
  <c r="AX50" i="7"/>
  <c r="AX45" i="7"/>
  <c r="AX44" i="7"/>
  <c r="AX47" i="7"/>
  <c r="AX48" i="7"/>
  <c r="AX43" i="7"/>
  <c r="AX49" i="7"/>
  <c r="AL61" i="7"/>
  <c r="AE61" i="7"/>
  <c r="BF46" i="7"/>
  <c r="BF50" i="7"/>
  <c r="BF45" i="7"/>
  <c r="BF68" i="7"/>
  <c r="BF69" i="7" s="1"/>
  <c r="BF44" i="7"/>
  <c r="BF47" i="7"/>
  <c r="BF49" i="7"/>
  <c r="BF48" i="7"/>
  <c r="BF43" i="7"/>
  <c r="AA43" i="7"/>
  <c r="AA47" i="7"/>
  <c r="AA46" i="7"/>
  <c r="AA45" i="7"/>
  <c r="AA68" i="7"/>
  <c r="AA69" i="7" s="1"/>
  <c r="AA49" i="7"/>
  <c r="AA44" i="7"/>
  <c r="AA48" i="7"/>
  <c r="AA50" i="7"/>
  <c r="AJ68" i="7"/>
  <c r="AJ69" i="7" s="1"/>
  <c r="AJ43" i="7"/>
  <c r="AJ47" i="7"/>
  <c r="AJ46" i="7"/>
  <c r="AJ45" i="7"/>
  <c r="AJ48" i="7"/>
  <c r="AJ50" i="7"/>
  <c r="AJ44" i="7"/>
  <c r="AJ49" i="7"/>
  <c r="AB64" i="7"/>
  <c r="BG69" i="7"/>
  <c r="BI53" i="7"/>
  <c r="BI54" i="7"/>
  <c r="AQ64" i="7"/>
  <c r="K26" i="8"/>
  <c r="AT69" i="7"/>
  <c r="AY53" i="7"/>
  <c r="AY61" i="7" s="1"/>
  <c r="AY54" i="7"/>
  <c r="AR69" i="7"/>
  <c r="AD64" i="7"/>
  <c r="AZ68" i="7"/>
  <c r="AZ43" i="7"/>
  <c r="AZ47" i="7"/>
  <c r="AZ46" i="7"/>
  <c r="AZ45" i="7"/>
  <c r="AZ49" i="7"/>
  <c r="AZ44" i="7"/>
  <c r="AZ48" i="7"/>
  <c r="AZ50" i="7"/>
  <c r="AC68" i="7"/>
  <c r="AC69" i="7" s="1"/>
  <c r="AC44" i="7"/>
  <c r="AC48" i="7"/>
  <c r="AC43" i="7"/>
  <c r="AC47" i="7"/>
  <c r="AC46" i="7"/>
  <c r="AC49" i="7"/>
  <c r="AC45" i="7"/>
  <c r="AC50" i="7"/>
  <c r="AI69" i="7"/>
  <c r="BA53" i="7"/>
  <c r="BA61" i="7" s="1"/>
  <c r="BA54" i="7"/>
  <c r="AW45" i="7"/>
  <c r="AW49" i="7"/>
  <c r="AW44" i="7"/>
  <c r="AW48" i="7"/>
  <c r="AW43" i="7"/>
  <c r="AW68" i="7"/>
  <c r="AW69" i="7" s="1"/>
  <c r="AW50" i="7"/>
  <c r="AW46" i="7"/>
  <c r="AW47" i="7"/>
  <c r="AO61" i="7"/>
  <c r="BJ68" i="7"/>
  <c r="BJ44" i="7"/>
  <c r="BJ48" i="7"/>
  <c r="BJ43" i="7"/>
  <c r="BJ47" i="7"/>
  <c r="BJ46" i="7"/>
  <c r="BJ45" i="7"/>
  <c r="BJ50" i="7"/>
  <c r="BJ49" i="7"/>
  <c r="AN45" i="7"/>
  <c r="AN49" i="7"/>
  <c r="AN68" i="7"/>
  <c r="AN69" i="7" s="1"/>
  <c r="AN44" i="7"/>
  <c r="AN43" i="7"/>
  <c r="AN47" i="7"/>
  <c r="AN46" i="7"/>
  <c r="AN48" i="7"/>
  <c r="AN50" i="7"/>
  <c r="BI68" i="7"/>
  <c r="BI69" i="7" s="1"/>
  <c r="BI43" i="7"/>
  <c r="BI47" i="7"/>
  <c r="BI46" i="7"/>
  <c r="BI50" i="7"/>
  <c r="BI45" i="7"/>
  <c r="BI48" i="7"/>
  <c r="BI44" i="7"/>
  <c r="BI49" i="7"/>
  <c r="BK61" i="7"/>
  <c r="AL68" i="7"/>
  <c r="AL44" i="7"/>
  <c r="AL48" i="7"/>
  <c r="AL43" i="7"/>
  <c r="AL47" i="7"/>
  <c r="AL46" i="7"/>
  <c r="AL49" i="7"/>
  <c r="AL45" i="7"/>
  <c r="AL50" i="7"/>
  <c r="AY46" i="7"/>
  <c r="AY50" i="7"/>
  <c r="AY45" i="7"/>
  <c r="AY49" i="7"/>
  <c r="AY44" i="7"/>
  <c r="AY47" i="7"/>
  <c r="AY48" i="7"/>
  <c r="AY43" i="7"/>
  <c r="L41" i="7"/>
  <c r="L42" i="7" s="1"/>
  <c r="L61" i="7"/>
  <c r="BD45" i="7"/>
  <c r="BD49" i="7"/>
  <c r="BD68" i="7"/>
  <c r="BD69" i="7" s="1"/>
  <c r="BD44" i="7"/>
  <c r="BD43" i="7"/>
  <c r="BD46" i="7"/>
  <c r="BD50" i="7"/>
  <c r="BD47" i="7"/>
  <c r="BD48" i="7"/>
  <c r="BM61" i="7"/>
  <c r="R68" i="7"/>
  <c r="R69" i="7" s="1"/>
  <c r="R50" i="7"/>
  <c r="R43" i="7"/>
  <c r="R45" i="7"/>
  <c r="R46" i="7"/>
  <c r="R49" i="7"/>
  <c r="R48" i="7"/>
  <c r="R44" i="7"/>
  <c r="R47" i="7"/>
  <c r="BL45" i="7"/>
  <c r="BL49" i="7"/>
  <c r="BL44" i="7"/>
  <c r="BL43" i="7"/>
  <c r="BL68" i="7"/>
  <c r="BL69" i="7" s="1"/>
  <c r="BL46" i="7"/>
  <c r="BL48" i="7"/>
  <c r="BL50" i="7"/>
  <c r="BL47" i="7"/>
  <c r="AR68" i="7"/>
  <c r="AR43" i="7"/>
  <c r="AR47" i="7"/>
  <c r="AR46" i="7"/>
  <c r="AR45" i="7"/>
  <c r="AR50" i="7"/>
  <c r="AR49" i="7"/>
  <c r="AR44" i="7"/>
  <c r="AR48" i="7"/>
  <c r="BE61" i="7"/>
  <c r="BD61" i="7"/>
  <c r="AT68" i="7"/>
  <c r="AT44" i="7"/>
  <c r="AT48" i="7"/>
  <c r="AT43" i="7"/>
  <c r="AT47" i="7"/>
  <c r="AT46" i="7"/>
  <c r="AT50" i="7"/>
  <c r="AT45" i="7"/>
  <c r="AT49" i="7"/>
  <c r="V61" i="7"/>
  <c r="BH61" i="7"/>
  <c r="AB68" i="7"/>
  <c r="AB69" i="7" s="1"/>
  <c r="AB43" i="7"/>
  <c r="AB47" i="7"/>
  <c r="AB46" i="7"/>
  <c r="AB50" i="7"/>
  <c r="AB45" i="7"/>
  <c r="AB49" i="7"/>
  <c r="AB44" i="7"/>
  <c r="AB48" i="7"/>
  <c r="AK68" i="7"/>
  <c r="AK69" i="7" s="1"/>
  <c r="AK43" i="7"/>
  <c r="AK47" i="7"/>
  <c r="AK46" i="7"/>
  <c r="AK50" i="7"/>
  <c r="AK45" i="7"/>
  <c r="AK48" i="7"/>
  <c r="AK44" i="7"/>
  <c r="AK49" i="7"/>
  <c r="U61" i="7"/>
  <c r="S64" i="7"/>
  <c r="K49" i="7"/>
  <c r="K50" i="7"/>
  <c r="K44" i="7"/>
  <c r="K68" i="7"/>
  <c r="K69" i="7" s="1"/>
  <c r="K48" i="7"/>
  <c r="K47" i="7"/>
  <c r="K43" i="7"/>
  <c r="K46" i="7"/>
  <c r="K45" i="7"/>
  <c r="BI61" i="7"/>
  <c r="AN64" i="7"/>
  <c r="BC69" i="7"/>
  <c r="BB64" i="7"/>
  <c r="BF64" i="7"/>
  <c r="Z64" i="7"/>
  <c r="AV64" i="7"/>
  <c r="AM64" i="7"/>
  <c r="N64" i="7"/>
  <c r="AP61" i="7"/>
  <c r="BE64" i="7"/>
  <c r="BL64" i="7"/>
  <c r="W64" i="7"/>
  <c r="C22" i="8"/>
  <c r="C21" i="8"/>
  <c r="G57" i="7"/>
  <c r="N41" i="7"/>
  <c r="N42" i="7" s="1"/>
  <c r="O41" i="7"/>
  <c r="O42" i="7" s="1"/>
  <c r="Y11" i="7"/>
  <c r="X11" i="7"/>
  <c r="X57" i="7" s="1"/>
  <c r="W11" i="7"/>
  <c r="V11" i="7"/>
  <c r="U11" i="7"/>
  <c r="AJ57" i="7"/>
  <c r="H41" i="7"/>
  <c r="P57" i="7"/>
  <c r="T57" i="7"/>
  <c r="E57" i="7"/>
  <c r="R57" i="7"/>
  <c r="J57" i="7"/>
  <c r="S57" i="7"/>
  <c r="K57" i="7"/>
  <c r="G43" i="7"/>
  <c r="G44" i="7"/>
  <c r="G45" i="7"/>
  <c r="G47" i="7"/>
  <c r="G48" i="7"/>
  <c r="G49" i="7"/>
  <c r="G50" i="7"/>
  <c r="G46" i="7"/>
  <c r="G42" i="7"/>
  <c r="G68" i="7" s="1"/>
  <c r="G69" i="7" s="1"/>
  <c r="Q57" i="7"/>
  <c r="E49" i="7"/>
  <c r="E50" i="7"/>
  <c r="E42" i="7"/>
  <c r="E68" i="7" s="1"/>
  <c r="E69" i="7" s="1"/>
  <c r="E43" i="7"/>
  <c r="E45" i="7"/>
  <c r="E46" i="7"/>
  <c r="E47" i="7"/>
  <c r="E48" i="7"/>
  <c r="E44" i="7"/>
  <c r="F50" i="7"/>
  <c r="F42" i="7"/>
  <c r="F68" i="7" s="1"/>
  <c r="F69" i="7" s="1"/>
  <c r="F43" i="7"/>
  <c r="F44" i="7"/>
  <c r="F46" i="7"/>
  <c r="F47" i="7"/>
  <c r="F48" i="7"/>
  <c r="F49" i="7"/>
  <c r="F45" i="7"/>
  <c r="Y12" i="7" l="1"/>
  <c r="K14" i="8" s="1"/>
  <c r="L14" i="8" s="1"/>
  <c r="K13" i="8"/>
  <c r="BA68" i="7"/>
  <c r="BA69" i="7" s="1"/>
  <c r="O68" i="7"/>
  <c r="O69" i="7" s="1"/>
  <c r="O45" i="7"/>
  <c r="O46" i="7"/>
  <c r="O48" i="7"/>
  <c r="O49" i="7"/>
  <c r="O44" i="7"/>
  <c r="O47" i="7"/>
  <c r="O50" i="7"/>
  <c r="O43" i="7"/>
  <c r="L26" i="8"/>
  <c r="L28" i="8" s="1"/>
  <c r="K28" i="8"/>
  <c r="I57" i="7"/>
  <c r="N57" i="7"/>
  <c r="L68" i="7"/>
  <c r="L69" i="7" s="1"/>
  <c r="L48" i="7"/>
  <c r="L49" i="7"/>
  <c r="L43" i="7"/>
  <c r="L45" i="7"/>
  <c r="L44" i="7"/>
  <c r="L47" i="7"/>
  <c r="L50" i="7"/>
  <c r="L46" i="7"/>
  <c r="AF45" i="7"/>
  <c r="AF49" i="7"/>
  <c r="AF44" i="7"/>
  <c r="AF48" i="7"/>
  <c r="AF43" i="7"/>
  <c r="AF46" i="7"/>
  <c r="AF47" i="7"/>
  <c r="AF50" i="7"/>
  <c r="AF68" i="7"/>
  <c r="AF69" i="7" s="1"/>
  <c r="AL12" i="7"/>
  <c r="B13" i="8"/>
  <c r="N68" i="7"/>
  <c r="N69" i="7" s="1"/>
  <c r="N46" i="7"/>
  <c r="N47" i="7"/>
  <c r="N49" i="7"/>
  <c r="N45" i="7"/>
  <c r="N48" i="7"/>
  <c r="N44" i="7"/>
  <c r="N50" i="7"/>
  <c r="N43" i="7"/>
  <c r="O61" i="7"/>
  <c r="AH68" i="7"/>
  <c r="AH69" i="7" s="1"/>
  <c r="AH46" i="7"/>
  <c r="AH50" i="7"/>
  <c r="AH45" i="7"/>
  <c r="AH44" i="7"/>
  <c r="AH48" i="7"/>
  <c r="AH43" i="7"/>
  <c r="AH47" i="7"/>
  <c r="AH49" i="7"/>
  <c r="I43" i="7"/>
  <c r="I44" i="7"/>
  <c r="I68" i="7"/>
  <c r="I69" i="7" s="1"/>
  <c r="I46" i="7"/>
  <c r="I45" i="7"/>
  <c r="I47" i="7"/>
  <c r="I48" i="7"/>
  <c r="I49" i="7"/>
  <c r="I50" i="7"/>
  <c r="P44" i="7"/>
  <c r="P45" i="7"/>
  <c r="P47" i="7"/>
  <c r="P43" i="7"/>
  <c r="P46" i="7"/>
  <c r="P49" i="7"/>
  <c r="P48" i="7"/>
  <c r="P68" i="7"/>
  <c r="P69" i="7" s="1"/>
  <c r="P50" i="7"/>
  <c r="AY68" i="7"/>
  <c r="AY69" i="7" s="1"/>
  <c r="N61" i="7"/>
  <c r="L57" i="7"/>
  <c r="U57" i="7"/>
  <c r="H42" i="7"/>
  <c r="H68" i="7" s="1"/>
  <c r="H69" i="7" s="1"/>
  <c r="H50" i="7"/>
  <c r="H43" i="7"/>
  <c r="L22" i="8"/>
  <c r="L23" i="8" s="1"/>
  <c r="K23" i="8"/>
  <c r="O57" i="7"/>
  <c r="AM57" i="7"/>
  <c r="AQ57" i="7"/>
  <c r="AL57" i="7"/>
  <c r="W57" i="7"/>
  <c r="V57" i="7"/>
  <c r="AB57" i="7"/>
  <c r="H57" i="7"/>
  <c r="AV57" i="7"/>
  <c r="BG57" i="7"/>
  <c r="AR57" i="7"/>
  <c r="AT57" i="7"/>
  <c r="AP57" i="7"/>
  <c r="AY57" i="7"/>
  <c r="BM57" i="7"/>
  <c r="H46" i="7"/>
  <c r="H49" i="7"/>
  <c r="H48" i="7"/>
  <c r="H45" i="7"/>
  <c r="H44" i="7"/>
  <c r="BI57" i="7"/>
  <c r="BE57" i="7"/>
  <c r="AU57" i="7"/>
  <c r="AZ57" i="7"/>
  <c r="AW57" i="7"/>
  <c r="AX57" i="7"/>
  <c r="BH57" i="7"/>
  <c r="BK57" i="7"/>
  <c r="AN57" i="7"/>
  <c r="BD57" i="7"/>
  <c r="BC57" i="7"/>
  <c r="BB57" i="7"/>
  <c r="BL57" i="7"/>
  <c r="AO57" i="7"/>
  <c r="BF57" i="7"/>
  <c r="H47" i="7"/>
  <c r="AG57" i="7"/>
  <c r="Y57" i="7"/>
  <c r="AH57" i="7"/>
  <c r="AI57" i="7"/>
  <c r="Z57" i="7"/>
  <c r="AF57" i="7"/>
  <c r="AA57" i="7"/>
  <c r="AE57" i="7"/>
  <c r="M57" i="7"/>
  <c r="AK57" i="7"/>
  <c r="AD57" i="7"/>
  <c r="AS57" i="7"/>
  <c r="BA57" i="7"/>
  <c r="BJ57" i="7"/>
  <c r="M7" i="8" l="1"/>
  <c r="AL13" i="7"/>
  <c r="B15" i="8" s="1"/>
  <c r="C15" i="8" s="1"/>
  <c r="B14" i="8"/>
  <c r="C14" i="8" s="1"/>
  <c r="M6" i="8"/>
  <c r="L13" i="8"/>
  <c r="L17" i="8" s="1"/>
  <c r="K17" i="8"/>
  <c r="K30" i="8" s="1"/>
  <c r="K31" i="8" s="1"/>
  <c r="AC57" i="7"/>
  <c r="M5" i="8" l="1"/>
  <c r="M8" i="8" s="1"/>
  <c r="L30" i="8"/>
  <c r="BL9" i="1"/>
  <c r="BL10" i="1" s="1"/>
  <c r="BK9" i="1"/>
  <c r="BK10" i="1" s="1"/>
  <c r="BJ9" i="1"/>
  <c r="BJ10" i="1" s="1"/>
  <c r="BI9" i="1"/>
  <c r="BI10" i="1" s="1"/>
  <c r="BH9" i="1"/>
  <c r="BH10" i="1" s="1"/>
  <c r="BG9" i="1"/>
  <c r="BG10" i="1" s="1"/>
  <c r="BF9" i="1"/>
  <c r="BF10" i="1" s="1"/>
  <c r="BE9" i="1"/>
  <c r="BE10" i="1" s="1"/>
  <c r="BD9" i="1"/>
  <c r="BD10" i="1" s="1"/>
  <c r="BC9" i="1"/>
  <c r="BC10" i="1" s="1"/>
  <c r="BB9" i="1"/>
  <c r="BB10" i="1" s="1"/>
  <c r="BA9" i="1"/>
  <c r="BA10" i="1" s="1"/>
  <c r="AZ9" i="1"/>
  <c r="AZ10" i="1" s="1"/>
  <c r="AY9" i="1"/>
  <c r="AY10" i="1" s="1"/>
  <c r="AX9" i="1"/>
  <c r="AX10" i="1" s="1"/>
  <c r="AW9" i="1"/>
  <c r="AW10" i="1" s="1"/>
  <c r="AV9" i="1"/>
  <c r="AV10" i="1" s="1"/>
  <c r="AU9" i="1"/>
  <c r="AU10" i="1" s="1"/>
  <c r="AT9" i="1"/>
  <c r="AT10" i="1" s="1"/>
  <c r="AS9" i="1"/>
  <c r="AS10" i="1" s="1"/>
  <c r="AR9" i="1"/>
  <c r="AR10" i="1" s="1"/>
  <c r="AQ9" i="1"/>
  <c r="AQ10" i="1" s="1"/>
  <c r="AP9" i="1"/>
  <c r="AP10" i="1" s="1"/>
  <c r="AO9" i="1"/>
  <c r="AO10" i="1" s="1"/>
  <c r="AN9" i="1"/>
  <c r="AN10" i="1" s="1"/>
  <c r="AM9" i="1"/>
  <c r="AM10" i="1" s="1"/>
  <c r="AL9" i="1"/>
  <c r="AL10" i="1" s="1"/>
  <c r="AK9" i="1"/>
  <c r="AK10" i="1" s="1"/>
  <c r="AJ9" i="1"/>
  <c r="AJ10" i="1" s="1"/>
  <c r="AI9" i="1"/>
  <c r="AI10" i="1" s="1"/>
  <c r="AH9" i="1"/>
  <c r="AH10" i="1" s="1"/>
  <c r="AG9" i="1"/>
  <c r="AG10" i="1" s="1"/>
  <c r="AF9" i="1"/>
  <c r="AF10" i="1" s="1"/>
  <c r="AE9" i="1"/>
  <c r="AE10" i="1" s="1"/>
  <c r="AD9" i="1"/>
  <c r="AD10" i="1" s="1"/>
  <c r="AC9" i="1"/>
  <c r="AC10" i="1" s="1"/>
  <c r="AB9" i="1"/>
  <c r="AB10" i="1" s="1"/>
  <c r="AA9" i="1"/>
  <c r="AA10" i="1" s="1"/>
  <c r="Z9" i="1"/>
  <c r="Z10" i="1" s="1"/>
  <c r="Y9" i="1"/>
  <c r="Y10" i="1" s="1"/>
  <c r="X9" i="1"/>
  <c r="X10" i="1" s="1"/>
  <c r="W9" i="1"/>
  <c r="W10" i="1" s="1"/>
  <c r="V9" i="1"/>
  <c r="V10" i="1" s="1"/>
  <c r="U9" i="1"/>
  <c r="U10" i="1" s="1"/>
  <c r="BM9" i="1"/>
  <c r="BM10" i="1" s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V5" i="1" s="1"/>
  <c r="AV7" i="1" s="1"/>
  <c r="AU4" i="1"/>
  <c r="AU5" i="1" s="1"/>
  <c r="AU7" i="1" s="1"/>
  <c r="AT4" i="1"/>
  <c r="AT5" i="1" s="1"/>
  <c r="AT7" i="1" s="1"/>
  <c r="AS4" i="1"/>
  <c r="AS5" i="1" s="1"/>
  <c r="AS7" i="1" s="1"/>
  <c r="AR4" i="1"/>
  <c r="AR5" i="1" s="1"/>
  <c r="AR7" i="1" s="1"/>
  <c r="AQ4" i="1"/>
  <c r="AQ5" i="1" s="1"/>
  <c r="AQ7" i="1" s="1"/>
  <c r="AP4" i="1"/>
  <c r="AP5" i="1" s="1"/>
  <c r="AP7" i="1" s="1"/>
  <c r="AO4" i="1"/>
  <c r="AO5" i="1" s="1"/>
  <c r="AO7" i="1" s="1"/>
  <c r="AN4" i="1"/>
  <c r="AN5" i="1" s="1"/>
  <c r="AN7" i="1" s="1"/>
  <c r="AM4" i="1"/>
  <c r="AM5" i="1" s="1"/>
  <c r="AM7" i="1" s="1"/>
  <c r="AL4" i="1"/>
  <c r="AL5" i="1" s="1"/>
  <c r="AK4" i="1"/>
  <c r="AK5" i="1" s="1"/>
  <c r="AK7" i="1" s="1"/>
  <c r="AJ4" i="1"/>
  <c r="AJ5" i="1" s="1"/>
  <c r="AJ7" i="1" s="1"/>
  <c r="AI4" i="1"/>
  <c r="AI5" i="1" s="1"/>
  <c r="AI7" i="1" s="1"/>
  <c r="AH4" i="1"/>
  <c r="AH5" i="1" s="1"/>
  <c r="AH7" i="1" s="1"/>
  <c r="AG4" i="1"/>
  <c r="AG5" i="1" s="1"/>
  <c r="AG7" i="1" s="1"/>
  <c r="AF4" i="1"/>
  <c r="AF5" i="1" s="1"/>
  <c r="AF7" i="1" s="1"/>
  <c r="AE4" i="1"/>
  <c r="AE5" i="1" s="1"/>
  <c r="AE7" i="1" s="1"/>
  <c r="AD4" i="1"/>
  <c r="AD5" i="1" s="1"/>
  <c r="AD7" i="1" s="1"/>
  <c r="AC4" i="1"/>
  <c r="AC5" i="1" s="1"/>
  <c r="AC7" i="1" s="1"/>
  <c r="AB4" i="1"/>
  <c r="AB5" i="1" s="1"/>
  <c r="AB7" i="1" s="1"/>
  <c r="AA4" i="1"/>
  <c r="AA5" i="1" s="1"/>
  <c r="AA7" i="1" s="1"/>
  <c r="Z4" i="1"/>
  <c r="Z5" i="1" s="1"/>
  <c r="Z7" i="1" s="1"/>
  <c r="Y4" i="1"/>
  <c r="Y5" i="1" s="1"/>
  <c r="Y7" i="1" s="1"/>
  <c r="X4" i="1"/>
  <c r="X5" i="1" s="1"/>
  <c r="X7" i="1" s="1"/>
  <c r="W4" i="1"/>
  <c r="W5" i="1" s="1"/>
  <c r="W7" i="1" s="1"/>
  <c r="V4" i="1"/>
  <c r="V5" i="1" s="1"/>
  <c r="V7" i="1" s="1"/>
  <c r="U4" i="1"/>
  <c r="U5" i="1" s="1"/>
  <c r="U7" i="1" s="1"/>
  <c r="T4" i="1"/>
  <c r="T5" i="1" s="1"/>
  <c r="T7" i="1" s="1"/>
  <c r="S4" i="1"/>
  <c r="S5" i="1" s="1"/>
  <c r="S7" i="1" s="1"/>
  <c r="R4" i="1"/>
  <c r="R5" i="1" s="1"/>
  <c r="R7" i="1" s="1"/>
  <c r="Q4" i="1"/>
  <c r="Q5" i="1" s="1"/>
  <c r="Q7" i="1" s="1"/>
  <c r="AY5" i="1" l="1"/>
  <c r="AY7" i="1" s="1"/>
  <c r="AY6" i="1"/>
  <c r="BJ5" i="1"/>
  <c r="BJ7" i="1" s="1"/>
  <c r="BJ6" i="1"/>
  <c r="AZ6" i="1"/>
  <c r="AZ5" i="1"/>
  <c r="AZ7" i="1" s="1"/>
  <c r="BA5" i="1"/>
  <c r="BA7" i="1" s="1"/>
  <c r="BA6" i="1"/>
  <c r="BB6" i="1"/>
  <c r="BB5" i="1"/>
  <c r="BB7" i="1" s="1"/>
  <c r="AL7" i="1"/>
  <c r="BG6" i="1"/>
  <c r="BG5" i="1"/>
  <c r="BG7" i="1" s="1"/>
  <c r="BH5" i="1"/>
  <c r="BH7" i="1" s="1"/>
  <c r="BH6" i="1"/>
  <c r="BE5" i="1"/>
  <c r="BE7" i="1" s="1"/>
  <c r="BE6" i="1"/>
  <c r="BF5" i="1"/>
  <c r="BF7" i="1" s="1"/>
  <c r="BF6" i="1"/>
  <c r="BI6" i="1"/>
  <c r="BI5" i="1"/>
  <c r="BI7" i="1" s="1"/>
  <c r="BK5" i="1"/>
  <c r="BK7" i="1" s="1"/>
  <c r="BK6" i="1"/>
  <c r="BL5" i="1"/>
  <c r="BL7" i="1" s="1"/>
  <c r="BL6" i="1"/>
  <c r="BC6" i="1"/>
  <c r="BC5" i="1"/>
  <c r="BC7" i="1" s="1"/>
  <c r="BD5" i="1"/>
  <c r="BD7" i="1" s="1"/>
  <c r="BD6" i="1"/>
  <c r="BM6" i="1"/>
  <c r="BM5" i="1"/>
  <c r="BM7" i="1" s="1"/>
  <c r="AW6" i="1"/>
  <c r="AW5" i="1"/>
  <c r="AW7" i="1" s="1"/>
  <c r="AX5" i="1"/>
  <c r="AX7" i="1" s="1"/>
  <c r="AX6" i="1"/>
  <c r="BL46" i="1"/>
  <c r="AX46" i="1"/>
  <c r="Y46" i="1"/>
  <c r="BM46" i="1"/>
  <c r="Z46" i="1"/>
  <c r="AC46" i="1"/>
  <c r="AE46" i="1"/>
  <c r="X46" i="1"/>
  <c r="AU46" i="1"/>
  <c r="AW46" i="1"/>
  <c r="AZ46" i="1"/>
  <c r="AG46" i="1"/>
  <c r="BB46" i="1"/>
  <c r="BC46" i="1"/>
  <c r="BD46" i="1"/>
  <c r="BE46" i="1"/>
  <c r="AR46" i="1"/>
  <c r="AT46" i="1"/>
  <c r="AV46" i="1"/>
  <c r="AY46" i="1"/>
  <c r="AF46" i="1"/>
  <c r="AH46" i="1"/>
  <c r="AI46" i="1"/>
  <c r="AJ46" i="1"/>
  <c r="AK46" i="1"/>
  <c r="AL46" i="1"/>
  <c r="AM46" i="1"/>
  <c r="BG46" i="1"/>
  <c r="AN46" i="1"/>
  <c r="BH46" i="1"/>
  <c r="AO46" i="1"/>
  <c r="AP46" i="1"/>
  <c r="AS46" i="1"/>
  <c r="AA46" i="1"/>
  <c r="AB46" i="1"/>
  <c r="AD46" i="1"/>
  <c r="BA46" i="1"/>
  <c r="BF46" i="1"/>
  <c r="U46" i="1"/>
  <c r="BI46" i="1"/>
  <c r="V46" i="1"/>
  <c r="BJ46" i="1"/>
  <c r="W46" i="1"/>
  <c r="AQ46" i="1"/>
  <c r="BK46" i="1"/>
  <c r="AY18" i="1"/>
  <c r="AY21" i="1" s="1"/>
  <c r="BA19" i="1"/>
  <c r="BA22" i="1" s="1"/>
  <c r="BB18" i="1"/>
  <c r="BB21" i="1" s="1"/>
  <c r="BE18" i="1"/>
  <c r="BE21" i="1" s="1"/>
  <c r="BG18" i="1"/>
  <c r="BG21" i="1" s="1"/>
  <c r="AR18" i="1"/>
  <c r="BM19" i="1"/>
  <c r="BM22" i="1" s="1"/>
  <c r="BD19" i="1"/>
  <c r="BD22" i="1" s="1"/>
  <c r="AL18" i="1"/>
  <c r="BF18" i="1"/>
  <c r="BF21" i="1" s="1"/>
  <c r="AN19" i="1"/>
  <c r="AQ18" i="1"/>
  <c r="BK17" i="1"/>
  <c r="BL19" i="1"/>
  <c r="BL22" i="1" s="1"/>
  <c r="AS19" i="1"/>
  <c r="AW18" i="1"/>
  <c r="AZ18" i="1"/>
  <c r="AZ21" i="1" s="1"/>
  <c r="BC19" i="1"/>
  <c r="BC22" i="1" s="1"/>
  <c r="AK19" i="1"/>
  <c r="AM19" i="1"/>
  <c r="BH18" i="1"/>
  <c r="BH21" i="1" s="1"/>
  <c r="AO18" i="1"/>
  <c r="BI17" i="1"/>
  <c r="AP18" i="1"/>
  <c r="BJ18" i="1"/>
  <c r="BJ21" i="1" s="1"/>
  <c r="AT19" i="1"/>
  <c r="AU19" i="1"/>
  <c r="AV19" i="1"/>
  <c r="AX18" i="1"/>
  <c r="AX21" i="1" s="1"/>
  <c r="B23" i="8"/>
  <c r="BC11" i="1"/>
  <c r="AU11" i="1"/>
  <c r="AW11" i="1"/>
  <c r="BD11" i="1"/>
  <c r="AZ11" i="1"/>
  <c r="BA11" i="1"/>
  <c r="BF11" i="1"/>
  <c r="BH11" i="1"/>
  <c r="AT11" i="1"/>
  <c r="AV11" i="1"/>
  <c r="AE11" i="1"/>
  <c r="AG11" i="1"/>
  <c r="BM11" i="1"/>
  <c r="AJ11" i="1"/>
  <c r="BJ11" i="1"/>
  <c r="AY11" i="1"/>
  <c r="BB11" i="1"/>
  <c r="AN11" i="1"/>
  <c r="BI11" i="1"/>
  <c r="AQ11" i="1"/>
  <c r="BK11" i="1"/>
  <c r="AS11" i="1"/>
  <c r="AX11" i="1"/>
  <c r="AF11" i="1"/>
  <c r="AH11" i="1"/>
  <c r="AI11" i="1"/>
  <c r="AK11" i="1"/>
  <c r="BE11" i="1"/>
  <c r="AL11" i="1"/>
  <c r="AM11" i="1"/>
  <c r="BG11" i="1"/>
  <c r="AO11" i="1"/>
  <c r="AP11" i="1"/>
  <c r="AR11" i="1"/>
  <c r="BL11" i="1"/>
  <c r="E52" i="1"/>
  <c r="F52" i="1"/>
  <c r="G52" i="1"/>
  <c r="H52" i="1"/>
  <c r="U11" i="1"/>
  <c r="V11" i="1"/>
  <c r="W11" i="1"/>
  <c r="X11" i="1"/>
  <c r="Y11" i="1"/>
  <c r="Z11" i="1"/>
  <c r="AA11" i="1"/>
  <c r="AB11" i="1"/>
  <c r="AC11" i="1"/>
  <c r="AD11" i="1"/>
  <c r="J18" i="1"/>
  <c r="J17" i="1"/>
  <c r="L18" i="1"/>
  <c r="L17" i="1"/>
  <c r="L47" i="1" s="1"/>
  <c r="N17" i="1"/>
  <c r="AH18" i="1"/>
  <c r="AH21" i="1" s="1"/>
  <c r="AH19" i="1"/>
  <c r="AH22" i="1" s="1"/>
  <c r="AH17" i="1"/>
  <c r="AJ19" i="1"/>
  <c r="AJ22" i="1" s="1"/>
  <c r="AJ17" i="1"/>
  <c r="AJ18" i="1"/>
  <c r="AJ21" i="1" s="1"/>
  <c r="O17" i="1"/>
  <c r="P17" i="1"/>
  <c r="I18" i="1"/>
  <c r="I17" i="1"/>
  <c r="AI17" i="1"/>
  <c r="AI19" i="1"/>
  <c r="AI22" i="1" s="1"/>
  <c r="AI18" i="1"/>
  <c r="AI21" i="1" s="1"/>
  <c r="K18" i="1"/>
  <c r="K17" i="1"/>
  <c r="M17" i="1"/>
  <c r="AG18" i="1"/>
  <c r="AG21" i="1" s="1"/>
  <c r="AG19" i="1"/>
  <c r="AG22" i="1" s="1"/>
  <c r="AG17" i="1"/>
  <c r="S18" i="1"/>
  <c r="S17" i="1"/>
  <c r="T17" i="1"/>
  <c r="T18" i="1"/>
  <c r="T21" i="1" s="1"/>
  <c r="U17" i="1"/>
  <c r="U18" i="1"/>
  <c r="U21" i="1" s="1"/>
  <c r="V17" i="1"/>
  <c r="V18" i="1"/>
  <c r="V21" i="1" s="1"/>
  <c r="W17" i="1"/>
  <c r="W18" i="1"/>
  <c r="W21" i="1" s="1"/>
  <c r="X17" i="1"/>
  <c r="X18" i="1"/>
  <c r="X21" i="1" s="1"/>
  <c r="Q18" i="1"/>
  <c r="Q21" i="1" s="1"/>
  <c r="Q17" i="1"/>
  <c r="R18" i="1"/>
  <c r="R21" i="1" s="1"/>
  <c r="R17" i="1"/>
  <c r="BF17" i="1"/>
  <c r="AX19" i="1"/>
  <c r="AX22" i="1" s="1"/>
  <c r="AQ17" i="1"/>
  <c r="BG17" i="1"/>
  <c r="AY19" i="1"/>
  <c r="AY22" i="1" s="1"/>
  <c r="BE17" i="1"/>
  <c r="AZ19" i="1"/>
  <c r="AZ22" i="1" s="1"/>
  <c r="BE19" i="1"/>
  <c r="BE22" i="1" s="1"/>
  <c r="BH17" i="1"/>
  <c r="AX17" i="1"/>
  <c r="AP19" i="1"/>
  <c r="BF19" i="1"/>
  <c r="BF22" i="1" s="1"/>
  <c r="AW19" i="1"/>
  <c r="AR17" i="1"/>
  <c r="BM17" i="1"/>
  <c r="AY17" i="1"/>
  <c r="AQ19" i="1"/>
  <c r="BG19" i="1"/>
  <c r="BG22" i="1" s="1"/>
  <c r="AO17" i="1"/>
  <c r="AP17" i="1"/>
  <c r="AW17" i="1"/>
  <c r="AO19" i="1"/>
  <c r="AZ17" i="1"/>
  <c r="AR19" i="1"/>
  <c r="BH19" i="1"/>
  <c r="BH22" i="1" s="1"/>
  <c r="AM18" i="1"/>
  <c r="BC18" i="1"/>
  <c r="BC21" i="1" s="1"/>
  <c r="BK18" i="1"/>
  <c r="BK21" i="1" s="1"/>
  <c r="AK18" i="1"/>
  <c r="AT18" i="1"/>
  <c r="BI19" i="1"/>
  <c r="BI22" i="1" s="1"/>
  <c r="BI18" i="1"/>
  <c r="AN18" i="1"/>
  <c r="AL17" i="1"/>
  <c r="AT17" i="1"/>
  <c r="BB17" i="1"/>
  <c r="BJ17" i="1"/>
  <c r="AL19" i="1"/>
  <c r="BB19" i="1"/>
  <c r="BB22" i="1" s="1"/>
  <c r="BJ19" i="1"/>
  <c r="BJ22" i="1" s="1"/>
  <c r="AS18" i="1"/>
  <c r="BD18" i="1"/>
  <c r="BD21" i="1" s="1"/>
  <c r="BK19" i="1"/>
  <c r="BK22" i="1" s="1"/>
  <c r="BA18" i="1"/>
  <c r="BA21" i="1" s="1"/>
  <c r="AU18" i="1"/>
  <c r="AV18" i="1"/>
  <c r="BL18" i="1"/>
  <c r="BL21" i="1" s="1"/>
  <c r="AK17" i="1"/>
  <c r="AS17" i="1"/>
  <c r="BA17" i="1"/>
  <c r="AM17" i="1"/>
  <c r="AU17" i="1"/>
  <c r="BC17" i="1"/>
  <c r="AN17" i="1"/>
  <c r="AV17" i="1"/>
  <c r="BD17" i="1"/>
  <c r="BL17" i="1"/>
  <c r="BM18" i="1"/>
  <c r="BM21" i="1" s="1"/>
  <c r="BL52" i="1" l="1"/>
  <c r="BD52" i="1"/>
  <c r="AV52" i="1"/>
  <c r="AN52" i="1"/>
  <c r="BC52" i="1"/>
  <c r="AU52" i="1"/>
  <c r="AM52" i="1"/>
  <c r="BA52" i="1"/>
  <c r="AS52" i="1"/>
  <c r="AK52" i="1"/>
  <c r="BJ20" i="1"/>
  <c r="BJ47" i="1"/>
  <c r="BB52" i="1"/>
  <c r="AT52" i="1"/>
  <c r="AL52" i="1"/>
  <c r="AZ52" i="1"/>
  <c r="AW52" i="1"/>
  <c r="AP52" i="1"/>
  <c r="AO52" i="1"/>
  <c r="AY52" i="1"/>
  <c r="BM52" i="1"/>
  <c r="AR52" i="1"/>
  <c r="AX52" i="1"/>
  <c r="BH20" i="1"/>
  <c r="BH47" i="1"/>
  <c r="BE52" i="1"/>
  <c r="BG20" i="1"/>
  <c r="BG47" i="1"/>
  <c r="AQ52" i="1"/>
  <c r="BF52" i="1"/>
  <c r="Y52" i="1"/>
  <c r="AG20" i="1"/>
  <c r="AG47" i="1"/>
  <c r="M20" i="1"/>
  <c r="M47" i="1"/>
  <c r="K52" i="1"/>
  <c r="K47" i="1"/>
  <c r="AI20" i="1"/>
  <c r="AI47" i="1"/>
  <c r="I52" i="1"/>
  <c r="I47" i="1"/>
  <c r="P20" i="1"/>
  <c r="P47" i="1"/>
  <c r="O20" i="1"/>
  <c r="O47" i="1"/>
  <c r="AJ20" i="1"/>
  <c r="AJ47" i="1"/>
  <c r="AH20" i="1"/>
  <c r="AH47" i="1"/>
  <c r="N20" i="1"/>
  <c r="N47" i="1"/>
  <c r="J52" i="1"/>
  <c r="J47" i="1"/>
  <c r="AD52" i="1"/>
  <c r="AA52" i="1"/>
  <c r="BI20" i="1"/>
  <c r="AC52" i="1"/>
  <c r="AB52" i="1"/>
  <c r="Z52" i="1"/>
  <c r="BK52" i="1"/>
  <c r="AF52" i="1"/>
  <c r="BI52" i="1"/>
  <c r="BK20" i="1"/>
  <c r="BK47" i="1" s="1"/>
  <c r="AE52" i="1"/>
  <c r="O52" i="1"/>
  <c r="C23" i="8"/>
  <c r="D6" i="8" s="1"/>
  <c r="S21" i="1"/>
  <c r="BJ52" i="1"/>
  <c r="P52" i="1"/>
  <c r="M52" i="1"/>
  <c r="AJ52" i="1"/>
  <c r="AH52" i="1"/>
  <c r="AI52" i="1"/>
  <c r="L52" i="1"/>
  <c r="AG52" i="1"/>
  <c r="N52" i="1"/>
  <c r="BG52" i="1"/>
  <c r="BH52" i="1"/>
  <c r="R20" i="1"/>
  <c r="R47" i="1" s="1"/>
  <c r="R52" i="1"/>
  <c r="Q20" i="1"/>
  <c r="Q47" i="1" s="1"/>
  <c r="Q52" i="1"/>
  <c r="X20" i="1"/>
  <c r="X47" i="1" s="1"/>
  <c r="X52" i="1"/>
  <c r="W20" i="1"/>
  <c r="W47" i="1" s="1"/>
  <c r="W52" i="1"/>
  <c r="V20" i="1"/>
  <c r="V47" i="1" s="1"/>
  <c r="V52" i="1"/>
  <c r="U20" i="1"/>
  <c r="U47" i="1" s="1"/>
  <c r="U52" i="1"/>
  <c r="T20" i="1"/>
  <c r="T47" i="1" s="1"/>
  <c r="T52" i="1"/>
  <c r="S20" i="1"/>
  <c r="S47" i="1" s="1"/>
  <c r="S52" i="1"/>
  <c r="BL20" i="1"/>
  <c r="BL47" i="1" s="1"/>
  <c r="BC20" i="1"/>
  <c r="BC47" i="1" s="1"/>
  <c r="BB20" i="1"/>
  <c r="BB47" i="1" s="1"/>
  <c r="BF20" i="1"/>
  <c r="BF47" i="1" s="1"/>
  <c r="BD20" i="1"/>
  <c r="BD47" i="1" s="1"/>
  <c r="AZ20" i="1"/>
  <c r="AZ47" i="1" s="1"/>
  <c r="BI21" i="1"/>
  <c r="BI47" i="1" s="1"/>
  <c r="AY20" i="1"/>
  <c r="AY47" i="1" s="1"/>
  <c r="AX20" i="1"/>
  <c r="AX47" i="1" s="1"/>
  <c r="BE20" i="1"/>
  <c r="BE47" i="1" s="1"/>
  <c r="BA20" i="1"/>
  <c r="BA47" i="1" s="1"/>
  <c r="BM20" i="1"/>
  <c r="BM47" i="1" s="1"/>
  <c r="C27" i="1" l="1"/>
  <c r="C29" i="1" s="1"/>
  <c r="C15" i="1"/>
  <c r="D27" i="1"/>
  <c r="D29" i="1" s="1"/>
  <c r="D15" i="1"/>
  <c r="E27" i="1"/>
  <c r="E29" i="1" s="1"/>
  <c r="E15" i="1"/>
  <c r="C52" i="1" l="1"/>
  <c r="E34" i="1"/>
  <c r="D32" i="1"/>
  <c r="C31" i="1"/>
  <c r="C28" i="1"/>
  <c r="C50" i="1" s="1"/>
  <c r="D28" i="1"/>
  <c r="D50" i="1" s="1"/>
  <c r="E28" i="1"/>
  <c r="E50" i="1" s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G27" i="1"/>
  <c r="G29" i="1" s="1"/>
  <c r="F27" i="1"/>
  <c r="F29" i="1" s="1"/>
  <c r="BM27" i="1"/>
  <c r="BM29" i="1" s="1"/>
  <c r="BL27" i="1"/>
  <c r="BL29" i="1" s="1"/>
  <c r="BK27" i="1"/>
  <c r="BK29" i="1" s="1"/>
  <c r="BJ27" i="1"/>
  <c r="BJ29" i="1" s="1"/>
  <c r="BI27" i="1"/>
  <c r="BI29" i="1" s="1"/>
  <c r="BH27" i="1"/>
  <c r="BH29" i="1" s="1"/>
  <c r="BG27" i="1"/>
  <c r="BG29" i="1" s="1"/>
  <c r="BF27" i="1"/>
  <c r="BF29" i="1" s="1"/>
  <c r="BE27" i="1"/>
  <c r="BE29" i="1" s="1"/>
  <c r="BD27" i="1"/>
  <c r="BD29" i="1" s="1"/>
  <c r="BC27" i="1"/>
  <c r="BC29" i="1" s="1"/>
  <c r="BB27" i="1"/>
  <c r="BB29" i="1" s="1"/>
  <c r="H27" i="1"/>
  <c r="H29" i="1" s="1"/>
  <c r="D52" i="1" l="1"/>
  <c r="E48" i="1"/>
  <c r="E32" i="1"/>
  <c r="D48" i="1"/>
  <c r="D31" i="1"/>
  <c r="C48" i="1"/>
  <c r="E36" i="1"/>
  <c r="C44" i="1"/>
  <c r="E30" i="1"/>
  <c r="E37" i="1"/>
  <c r="E38" i="1"/>
  <c r="E31" i="1"/>
  <c r="D44" i="1"/>
  <c r="E44" i="1"/>
  <c r="E35" i="1"/>
  <c r="C30" i="1"/>
  <c r="E33" i="1"/>
  <c r="BE40" i="1"/>
  <c r="BE41" i="1" s="1"/>
  <c r="BE30" i="1"/>
  <c r="BF40" i="1"/>
  <c r="BF41" i="1" s="1"/>
  <c r="BF30" i="1"/>
  <c r="BG40" i="1"/>
  <c r="BG41" i="1" s="1"/>
  <c r="BG30" i="1"/>
  <c r="BH40" i="1"/>
  <c r="BH41" i="1" s="1"/>
  <c r="BH30" i="1"/>
  <c r="BI40" i="1"/>
  <c r="BI41" i="1" s="1"/>
  <c r="BI30" i="1"/>
  <c r="C36" i="1"/>
  <c r="C37" i="1"/>
  <c r="C35" i="1"/>
  <c r="C38" i="1"/>
  <c r="C33" i="1"/>
  <c r="C32" i="1"/>
  <c r="C34" i="1"/>
  <c r="BB40" i="1"/>
  <c r="BB41" i="1" s="1"/>
  <c r="BB30" i="1"/>
  <c r="BJ40" i="1"/>
  <c r="BJ41" i="1" s="1"/>
  <c r="BJ30" i="1"/>
  <c r="BC40" i="1"/>
  <c r="BC41" i="1" s="1"/>
  <c r="BC30" i="1"/>
  <c r="BK40" i="1"/>
  <c r="BK41" i="1" s="1"/>
  <c r="BK30" i="1"/>
  <c r="D38" i="1"/>
  <c r="D35" i="1"/>
  <c r="D33" i="1"/>
  <c r="D34" i="1"/>
  <c r="D37" i="1"/>
  <c r="D36" i="1"/>
  <c r="BD40" i="1"/>
  <c r="BD41" i="1" s="1"/>
  <c r="BD30" i="1"/>
  <c r="BL40" i="1"/>
  <c r="BL41" i="1" s="1"/>
  <c r="BL30" i="1"/>
  <c r="BM40" i="1"/>
  <c r="BM41" i="1" s="1"/>
  <c r="BM30" i="1"/>
  <c r="D30" i="1"/>
  <c r="F28" i="1"/>
  <c r="F50" i="1" s="1"/>
  <c r="F44" i="1"/>
  <c r="G44" i="1"/>
  <c r="H44" i="1"/>
  <c r="D47" i="1"/>
  <c r="BF28" i="1"/>
  <c r="BG28" i="1"/>
  <c r="BG50" i="1" s="1"/>
  <c r="BH28" i="1"/>
  <c r="BH50" i="1" s="1"/>
  <c r="BI28" i="1"/>
  <c r="BI50" i="1" s="1"/>
  <c r="BJ28" i="1"/>
  <c r="BJ50" i="1" s="1"/>
  <c r="G28" i="1"/>
  <c r="G50" i="1" s="1"/>
  <c r="BC28" i="1"/>
  <c r="BC50" i="1" s="1"/>
  <c r="BK28" i="1"/>
  <c r="BK50" i="1" s="1"/>
  <c r="H28" i="1"/>
  <c r="H50" i="1" s="1"/>
  <c r="BD28" i="1"/>
  <c r="BD50" i="1" s="1"/>
  <c r="BL28" i="1"/>
  <c r="BL50" i="1" s="1"/>
  <c r="BB28" i="1"/>
  <c r="BB50" i="1" s="1"/>
  <c r="BE28" i="1"/>
  <c r="BE50" i="1" s="1"/>
  <c r="BM28" i="1"/>
  <c r="BM50" i="1" s="1"/>
  <c r="BF48" i="1" l="1"/>
  <c r="BF50" i="1"/>
  <c r="BM38" i="1"/>
  <c r="BM37" i="1"/>
  <c r="BL38" i="1"/>
  <c r="BL37" i="1"/>
  <c r="BD38" i="1"/>
  <c r="BD37" i="1"/>
  <c r="BK38" i="1"/>
  <c r="BK37" i="1"/>
  <c r="BC38" i="1"/>
  <c r="BC37" i="1"/>
  <c r="BJ38" i="1"/>
  <c r="BJ37" i="1"/>
  <c r="BB38" i="1"/>
  <c r="BB37" i="1"/>
  <c r="BI54" i="1"/>
  <c r="BI38" i="1"/>
  <c r="BI37" i="1"/>
  <c r="BH54" i="1"/>
  <c r="BH38" i="1"/>
  <c r="BH37" i="1"/>
  <c r="BG54" i="1"/>
  <c r="BG38" i="1"/>
  <c r="BG37" i="1"/>
  <c r="BF54" i="1"/>
  <c r="BF38" i="1"/>
  <c r="BF37" i="1"/>
  <c r="BE54" i="1"/>
  <c r="BE38" i="1"/>
  <c r="BE37" i="1"/>
  <c r="BI48" i="1"/>
  <c r="BL48" i="1"/>
  <c r="BC53" i="1"/>
  <c r="BD53" i="1"/>
  <c r="BH53" i="1"/>
  <c r="BJ48" i="1"/>
  <c r="BJ53" i="1"/>
  <c r="BB53" i="1"/>
  <c r="BI53" i="1"/>
  <c r="BL53" i="1"/>
  <c r="BE53" i="1"/>
  <c r="BM53" i="1"/>
  <c r="BG53" i="1"/>
  <c r="BK53" i="1"/>
  <c r="BE48" i="1"/>
  <c r="BB48" i="1"/>
  <c r="BC54" i="1"/>
  <c r="BF53" i="1"/>
  <c r="D54" i="1"/>
  <c r="D53" i="1"/>
  <c r="C54" i="1"/>
  <c r="C53" i="1"/>
  <c r="E54" i="1"/>
  <c r="E53" i="1"/>
  <c r="BG48" i="1"/>
  <c r="BM54" i="1"/>
  <c r="BJ54" i="1"/>
  <c r="BL54" i="1"/>
  <c r="BB54" i="1"/>
  <c r="BH48" i="1"/>
  <c r="BD48" i="1"/>
  <c r="BK48" i="1"/>
  <c r="BC48" i="1"/>
  <c r="BM48" i="1"/>
  <c r="BD54" i="1"/>
  <c r="BK54" i="1"/>
  <c r="G48" i="1"/>
  <c r="F48" i="1"/>
  <c r="H48" i="1"/>
  <c r="BD44" i="1"/>
  <c r="BM32" i="1"/>
  <c r="BM36" i="1"/>
  <c r="BM31" i="1"/>
  <c r="BM35" i="1"/>
  <c r="BM34" i="1"/>
  <c r="BM33" i="1"/>
  <c r="BJ32" i="1"/>
  <c r="BJ35" i="1"/>
  <c r="BJ31" i="1"/>
  <c r="BJ34" i="1"/>
  <c r="BJ36" i="1"/>
  <c r="BJ33" i="1"/>
  <c r="BG34" i="1"/>
  <c r="BG31" i="1"/>
  <c r="BG35" i="1"/>
  <c r="BG32" i="1"/>
  <c r="BG36" i="1"/>
  <c r="BG33" i="1"/>
  <c r="BL33" i="1"/>
  <c r="BL32" i="1"/>
  <c r="BL36" i="1"/>
  <c r="BL31" i="1"/>
  <c r="BL35" i="1"/>
  <c r="BL34" i="1"/>
  <c r="BF34" i="1"/>
  <c r="BF31" i="1"/>
  <c r="BF35" i="1"/>
  <c r="BF32" i="1"/>
  <c r="BF36" i="1"/>
  <c r="BF33" i="1"/>
  <c r="BH31" i="1"/>
  <c r="BH34" i="1"/>
  <c r="BH36" i="1"/>
  <c r="BH33" i="1"/>
  <c r="BH35" i="1"/>
  <c r="BH32" i="1"/>
  <c r="BD33" i="1"/>
  <c r="BD36" i="1"/>
  <c r="BD31" i="1"/>
  <c r="BD35" i="1"/>
  <c r="BD32" i="1"/>
  <c r="BD34" i="1"/>
  <c r="BC36" i="1"/>
  <c r="BC31" i="1"/>
  <c r="BC35" i="1"/>
  <c r="BC34" i="1"/>
  <c r="BC33" i="1"/>
  <c r="BC32" i="1"/>
  <c r="BK36" i="1"/>
  <c r="BK35" i="1"/>
  <c r="BK31" i="1"/>
  <c r="BK34" i="1"/>
  <c r="BK33" i="1"/>
  <c r="BK32" i="1"/>
  <c r="BI35" i="1"/>
  <c r="BI31" i="1"/>
  <c r="BI36" i="1"/>
  <c r="BI33" i="1"/>
  <c r="BI32" i="1"/>
  <c r="BI34" i="1"/>
  <c r="BE36" i="1"/>
  <c r="BE31" i="1"/>
  <c r="BE35" i="1"/>
  <c r="BE32" i="1"/>
  <c r="BE34" i="1"/>
  <c r="BE33" i="1"/>
  <c r="BB32" i="1"/>
  <c r="BB31" i="1"/>
  <c r="BB35" i="1"/>
  <c r="BB36" i="1"/>
  <c r="BB34" i="1"/>
  <c r="BB33" i="1"/>
  <c r="F30" i="1"/>
  <c r="F35" i="1"/>
  <c r="F38" i="1"/>
  <c r="F34" i="1"/>
  <c r="F32" i="1"/>
  <c r="F31" i="1"/>
  <c r="F37" i="1"/>
  <c r="F33" i="1"/>
  <c r="F36" i="1"/>
  <c r="H33" i="1"/>
  <c r="H32" i="1"/>
  <c r="H37" i="1"/>
  <c r="H31" i="1"/>
  <c r="H38" i="1"/>
  <c r="H30" i="1"/>
  <c r="H36" i="1"/>
  <c r="H35" i="1"/>
  <c r="H34" i="1"/>
  <c r="H54" i="1" l="1"/>
  <c r="H53" i="1"/>
  <c r="F54" i="1"/>
  <c r="F53" i="1"/>
  <c r="BK44" i="1"/>
  <c r="BM44" i="1"/>
  <c r="BG44" i="1"/>
  <c r="BF44" i="1"/>
  <c r="BL44" i="1"/>
  <c r="BB44" i="1"/>
  <c r="BC44" i="1"/>
  <c r="BI44" i="1"/>
  <c r="BE44" i="1"/>
  <c r="BJ44" i="1"/>
  <c r="BH44" i="1"/>
  <c r="G38" i="1"/>
  <c r="G34" i="1"/>
  <c r="G30" i="1"/>
  <c r="G31" i="1"/>
  <c r="G37" i="1"/>
  <c r="G33" i="1"/>
  <c r="G36" i="1"/>
  <c r="G32" i="1"/>
  <c r="G35" i="1"/>
  <c r="BA27" i="1"/>
  <c r="BA29" i="1" s="1"/>
  <c r="G54" i="1" l="1"/>
  <c r="G53" i="1"/>
  <c r="BA40" i="1"/>
  <c r="BA41" i="1" s="1"/>
  <c r="BA30" i="1"/>
  <c r="BA28" i="1"/>
  <c r="BA50" i="1" s="1"/>
  <c r="AZ27" i="1"/>
  <c r="AZ29" i="1" s="1"/>
  <c r="BA54" i="1" l="1"/>
  <c r="BA38" i="1"/>
  <c r="BA37" i="1"/>
  <c r="BA53" i="1"/>
  <c r="BA48" i="1"/>
  <c r="BA44" i="1"/>
  <c r="AZ40" i="1"/>
  <c r="AZ41" i="1" s="1"/>
  <c r="AZ30" i="1"/>
  <c r="BA35" i="1"/>
  <c r="BA36" i="1"/>
  <c r="BA34" i="1"/>
  <c r="BA33" i="1"/>
  <c r="BA32" i="1"/>
  <c r="BA31" i="1"/>
  <c r="AZ28" i="1"/>
  <c r="AZ50" i="1" s="1"/>
  <c r="AI27" i="1"/>
  <c r="AI29" i="1" s="1"/>
  <c r="AH27" i="1"/>
  <c r="AH29" i="1" s="1"/>
  <c r="AG27" i="1"/>
  <c r="AG29" i="1" s="1"/>
  <c r="AF27" i="1"/>
  <c r="AF29" i="1" s="1"/>
  <c r="AE27" i="1"/>
  <c r="AE29" i="1" s="1"/>
  <c r="AD27" i="1"/>
  <c r="AD29" i="1" s="1"/>
  <c r="AC27" i="1"/>
  <c r="AC29" i="1" s="1"/>
  <c r="AB27" i="1"/>
  <c r="AB29" i="1" s="1"/>
  <c r="AA27" i="1"/>
  <c r="AA29" i="1" s="1"/>
  <c r="Z27" i="1"/>
  <c r="Z29" i="1" s="1"/>
  <c r="Y27" i="1"/>
  <c r="Y29" i="1" s="1"/>
  <c r="X27" i="1"/>
  <c r="X29" i="1" s="1"/>
  <c r="AZ54" i="1" l="1"/>
  <c r="AZ38" i="1"/>
  <c r="AZ37" i="1"/>
  <c r="AZ53" i="1"/>
  <c r="AZ48" i="1"/>
  <c r="AZ44" i="1"/>
  <c r="AC40" i="1"/>
  <c r="AC41" i="1" s="1"/>
  <c r="AC30" i="1"/>
  <c r="AD40" i="1"/>
  <c r="AD41" i="1" s="1"/>
  <c r="AD30" i="1"/>
  <c r="AB40" i="1"/>
  <c r="AB41" i="1" s="1"/>
  <c r="AB30" i="1"/>
  <c r="Z40" i="1"/>
  <c r="Z41" i="1" s="1"/>
  <c r="Z30" i="1"/>
  <c r="X40" i="1"/>
  <c r="X41" i="1" s="1"/>
  <c r="X30" i="1"/>
  <c r="Y40" i="1"/>
  <c r="Y41" i="1" s="1"/>
  <c r="Y30" i="1"/>
  <c r="AE40" i="1"/>
  <c r="AE41" i="1" s="1"/>
  <c r="AE30" i="1"/>
  <c r="AF40" i="1"/>
  <c r="AF41" i="1" s="1"/>
  <c r="AF30" i="1"/>
  <c r="AG40" i="1"/>
  <c r="AG41" i="1" s="1"/>
  <c r="AG30" i="1"/>
  <c r="AH40" i="1"/>
  <c r="AH41" i="1" s="1"/>
  <c r="AH30" i="1"/>
  <c r="AZ31" i="1"/>
  <c r="AZ32" i="1"/>
  <c r="AZ36" i="1"/>
  <c r="AZ35" i="1"/>
  <c r="AZ34" i="1"/>
  <c r="AZ33" i="1"/>
  <c r="AA40" i="1"/>
  <c r="AA41" i="1" s="1"/>
  <c r="AA30" i="1"/>
  <c r="AI40" i="1"/>
  <c r="AI41" i="1" s="1"/>
  <c r="AI30" i="1"/>
  <c r="AC28" i="1"/>
  <c r="AA28" i="1"/>
  <c r="AA50" i="1" s="1"/>
  <c r="AI28" i="1"/>
  <c r="AI50" i="1" s="1"/>
  <c r="Y28" i="1"/>
  <c r="Y50" i="1" s="1"/>
  <c r="AD28" i="1"/>
  <c r="AD50" i="1" s="1"/>
  <c r="AE28" i="1"/>
  <c r="AE50" i="1" s="1"/>
  <c r="X28" i="1"/>
  <c r="AH28" i="1"/>
  <c r="AB28" i="1"/>
  <c r="AB50" i="1" s="1"/>
  <c r="Z28" i="1"/>
  <c r="Z50" i="1" s="1"/>
  <c r="AF28" i="1"/>
  <c r="AF50" i="1" s="1"/>
  <c r="AG28" i="1"/>
  <c r="AG50" i="1" s="1"/>
  <c r="I27" i="1"/>
  <c r="I29" i="1" l="1"/>
  <c r="I30" i="1" s="1"/>
  <c r="I38" i="1" s="1"/>
  <c r="AH48" i="1"/>
  <c r="AH50" i="1"/>
  <c r="X48" i="1"/>
  <c r="X50" i="1"/>
  <c r="AC48" i="1"/>
  <c r="AC50" i="1"/>
  <c r="AI38" i="1"/>
  <c r="AI37" i="1"/>
  <c r="AA38" i="1"/>
  <c r="AA37" i="1"/>
  <c r="AH54" i="1"/>
  <c r="AH38" i="1"/>
  <c r="AH37" i="1"/>
  <c r="AG38" i="1"/>
  <c r="AG37" i="1"/>
  <c r="AG53" i="1"/>
  <c r="AF54" i="1"/>
  <c r="AF38" i="1"/>
  <c r="AF37" i="1"/>
  <c r="AE54" i="1"/>
  <c r="AE38" i="1"/>
  <c r="AE37" i="1"/>
  <c r="Y54" i="1"/>
  <c r="Y38" i="1"/>
  <c r="Y37" i="1"/>
  <c r="X54" i="1"/>
  <c r="X38" i="1"/>
  <c r="X37" i="1"/>
  <c r="Z54" i="1"/>
  <c r="Z38" i="1"/>
  <c r="Z37" i="1"/>
  <c r="AB54" i="1"/>
  <c r="AB38" i="1"/>
  <c r="AB37" i="1"/>
  <c r="AD54" i="1"/>
  <c r="AD38" i="1"/>
  <c r="AD37" i="1"/>
  <c r="AC54" i="1"/>
  <c r="AC38" i="1"/>
  <c r="AC37" i="1"/>
  <c r="AF53" i="1"/>
  <c r="AI53" i="1"/>
  <c r="AE53" i="1"/>
  <c r="AI48" i="1"/>
  <c r="AG48" i="1"/>
  <c r="AH53" i="1"/>
  <c r="AA48" i="1"/>
  <c r="AG54" i="1"/>
  <c r="AA53" i="1"/>
  <c r="Y53" i="1"/>
  <c r="X53" i="1"/>
  <c r="Z53" i="1"/>
  <c r="AB53" i="1"/>
  <c r="AD53" i="1"/>
  <c r="AC53" i="1"/>
  <c r="AB48" i="1"/>
  <c r="AD48" i="1"/>
  <c r="Y48" i="1"/>
  <c r="AI54" i="1"/>
  <c r="Z48" i="1"/>
  <c r="AA54" i="1"/>
  <c r="AF48" i="1"/>
  <c r="AE48" i="1"/>
  <c r="Z34" i="1"/>
  <c r="Z31" i="1"/>
  <c r="Z35" i="1"/>
  <c r="Z32" i="1"/>
  <c r="Z36" i="1"/>
  <c r="Z33" i="1"/>
  <c r="AA34" i="1"/>
  <c r="AA31" i="1"/>
  <c r="AA35" i="1"/>
  <c r="AA32" i="1"/>
  <c r="AA36" i="1"/>
  <c r="AA33" i="1"/>
  <c r="AF33" i="1"/>
  <c r="AF32" i="1"/>
  <c r="AF36" i="1"/>
  <c r="AF31" i="1"/>
  <c r="AF35" i="1"/>
  <c r="AF34" i="1"/>
  <c r="AE36" i="1"/>
  <c r="AE35" i="1"/>
  <c r="AE31" i="1"/>
  <c r="AE34" i="1"/>
  <c r="AE33" i="1"/>
  <c r="AE32" i="1"/>
  <c r="AH34" i="1"/>
  <c r="AH32" i="1"/>
  <c r="AH36" i="1"/>
  <c r="AH31" i="1"/>
  <c r="AH35" i="1"/>
  <c r="AH33" i="1"/>
  <c r="Y36" i="1"/>
  <c r="Y31" i="1"/>
  <c r="Y35" i="1"/>
  <c r="Y32" i="1"/>
  <c r="Y33" i="1"/>
  <c r="Y34" i="1"/>
  <c r="AD32" i="1"/>
  <c r="AD35" i="1"/>
  <c r="AD31" i="1"/>
  <c r="AD36" i="1"/>
  <c r="AD33" i="1"/>
  <c r="AD34" i="1"/>
  <c r="AI34" i="1"/>
  <c r="AI32" i="1"/>
  <c r="AI36" i="1"/>
  <c r="AI31" i="1"/>
  <c r="AI35" i="1"/>
  <c r="AI33" i="1"/>
  <c r="AG32" i="1"/>
  <c r="AG36" i="1"/>
  <c r="AG31" i="1"/>
  <c r="AG35" i="1"/>
  <c r="AG34" i="1"/>
  <c r="AG33" i="1"/>
  <c r="X33" i="1"/>
  <c r="X36" i="1"/>
  <c r="X31" i="1"/>
  <c r="X35" i="1"/>
  <c r="X32" i="1"/>
  <c r="X34" i="1"/>
  <c r="AC35" i="1"/>
  <c r="AC33" i="1"/>
  <c r="AC32" i="1"/>
  <c r="AC31" i="1"/>
  <c r="AC34" i="1"/>
  <c r="AC36" i="1"/>
  <c r="AB35" i="1"/>
  <c r="AB36" i="1"/>
  <c r="AB32" i="1"/>
  <c r="AB34" i="1"/>
  <c r="AB33" i="1"/>
  <c r="AB31" i="1"/>
  <c r="I28" i="1"/>
  <c r="I50" i="1" s="1"/>
  <c r="AJ27" i="1"/>
  <c r="AJ29" i="1" s="1"/>
  <c r="AK27" i="1"/>
  <c r="AK29" i="1" s="1"/>
  <c r="AM27" i="1"/>
  <c r="AM29" i="1" s="1"/>
  <c r="AN27" i="1"/>
  <c r="AN29" i="1" s="1"/>
  <c r="AN20" i="1"/>
  <c r="I48" i="1" l="1"/>
  <c r="I53" i="1"/>
  <c r="I54" i="1"/>
  <c r="X44" i="1"/>
  <c r="I37" i="1"/>
  <c r="I31" i="1"/>
  <c r="I33" i="1"/>
  <c r="I35" i="1"/>
  <c r="I32" i="1"/>
  <c r="I34" i="1"/>
  <c r="I36" i="1"/>
  <c r="I44" i="1"/>
  <c r="AB47" i="1"/>
  <c r="Y47" i="1"/>
  <c r="AM40" i="1"/>
  <c r="AM41" i="1" s="1"/>
  <c r="AM30" i="1"/>
  <c r="AN40" i="1"/>
  <c r="AN41" i="1" s="1"/>
  <c r="AN30" i="1"/>
  <c r="AK40" i="1"/>
  <c r="AK41" i="1" s="1"/>
  <c r="AK30" i="1"/>
  <c r="AJ40" i="1"/>
  <c r="AJ41" i="1" s="1"/>
  <c r="AJ30" i="1"/>
  <c r="AM20" i="1"/>
  <c r="AN22" i="1"/>
  <c r="AN21" i="1"/>
  <c r="AN47" i="1" s="1"/>
  <c r="AK20" i="1"/>
  <c r="AF47" i="1"/>
  <c r="AK28" i="1"/>
  <c r="AK50" i="1" s="1"/>
  <c r="AM28" i="1"/>
  <c r="AM50" i="1" s="1"/>
  <c r="AJ28" i="1"/>
  <c r="AJ50" i="1" s="1"/>
  <c r="AN28" i="1"/>
  <c r="AN50" i="1" s="1"/>
  <c r="AU27" i="1"/>
  <c r="AU29" i="1" s="1"/>
  <c r="AS27" i="1"/>
  <c r="AS29" i="1" s="1"/>
  <c r="AR27" i="1"/>
  <c r="AR29" i="1" s="1"/>
  <c r="AQ27" i="1"/>
  <c r="AQ29" i="1" s="1"/>
  <c r="AO27" i="1"/>
  <c r="AO29" i="1" s="1"/>
  <c r="Z44" i="1" l="1"/>
  <c r="Z47" i="1"/>
  <c r="AJ38" i="1"/>
  <c r="AJ37" i="1"/>
  <c r="AK54" i="1"/>
  <c r="AK38" i="1"/>
  <c r="AK37" i="1"/>
  <c r="AN54" i="1"/>
  <c r="AN38" i="1"/>
  <c r="AN37" i="1"/>
  <c r="AM54" i="1"/>
  <c r="AM38" i="1"/>
  <c r="AM37" i="1"/>
  <c r="AJ53" i="1"/>
  <c r="AM53" i="1"/>
  <c r="AK53" i="1"/>
  <c r="AN53" i="1"/>
  <c r="AN48" i="1"/>
  <c r="AJ54" i="1"/>
  <c r="AJ48" i="1"/>
  <c r="AM48" i="1"/>
  <c r="AK48" i="1"/>
  <c r="Y44" i="1"/>
  <c r="AF44" i="1"/>
  <c r="AA47" i="1"/>
  <c r="AH44" i="1"/>
  <c r="AB44" i="1"/>
  <c r="AG44" i="1"/>
  <c r="AO40" i="1"/>
  <c r="AO41" i="1" s="1"/>
  <c r="AO30" i="1"/>
  <c r="AM36" i="1"/>
  <c r="AM31" i="1"/>
  <c r="AM35" i="1"/>
  <c r="AM34" i="1"/>
  <c r="AM33" i="1"/>
  <c r="AM32" i="1"/>
  <c r="AJ31" i="1"/>
  <c r="AJ33" i="1"/>
  <c r="AJ36" i="1"/>
  <c r="AJ35" i="1"/>
  <c r="AJ34" i="1"/>
  <c r="AJ32" i="1"/>
  <c r="AK35" i="1"/>
  <c r="AK36" i="1"/>
  <c r="AK33" i="1"/>
  <c r="AK32" i="1"/>
  <c r="AK31" i="1"/>
  <c r="AK34" i="1"/>
  <c r="AQ40" i="1"/>
  <c r="AQ41" i="1" s="1"/>
  <c r="AQ30" i="1"/>
  <c r="AN36" i="1"/>
  <c r="AN35" i="1"/>
  <c r="AN32" i="1"/>
  <c r="AN31" i="1"/>
  <c r="AN33" i="1"/>
  <c r="AN34" i="1"/>
  <c r="AR40" i="1"/>
  <c r="AR41" i="1" s="1"/>
  <c r="AR30" i="1"/>
  <c r="AS40" i="1"/>
  <c r="AS41" i="1" s="1"/>
  <c r="AS30" i="1"/>
  <c r="AU40" i="1"/>
  <c r="AU41" i="1" s="1"/>
  <c r="AU30" i="1"/>
  <c r="AK22" i="1"/>
  <c r="AK21" i="1"/>
  <c r="AK47" i="1" s="1"/>
  <c r="AM21" i="1"/>
  <c r="AD47" i="1"/>
  <c r="AC47" i="1"/>
  <c r="AE47" i="1"/>
  <c r="AQ28" i="1"/>
  <c r="AQ50" i="1" s="1"/>
  <c r="AU28" i="1"/>
  <c r="AU50" i="1" s="1"/>
  <c r="AR28" i="1"/>
  <c r="AR50" i="1" s="1"/>
  <c r="AS28" i="1"/>
  <c r="AS50" i="1" s="1"/>
  <c r="AO28" i="1"/>
  <c r="AO50" i="1" s="1"/>
  <c r="AL27" i="1"/>
  <c r="AL29" i="1" s="1"/>
  <c r="AP27" i="1"/>
  <c r="AP29" i="1" s="1"/>
  <c r="AT27" i="1"/>
  <c r="AT29" i="1" s="1"/>
  <c r="AU54" i="1" l="1"/>
  <c r="AU38" i="1"/>
  <c r="AU37" i="1"/>
  <c r="AS54" i="1"/>
  <c r="AS38" i="1"/>
  <c r="AS37" i="1"/>
  <c r="AR54" i="1"/>
  <c r="AR38" i="1"/>
  <c r="AR37" i="1"/>
  <c r="AQ38" i="1"/>
  <c r="AQ37" i="1"/>
  <c r="AO54" i="1"/>
  <c r="AO38" i="1"/>
  <c r="AO37" i="1"/>
  <c r="AO53" i="1"/>
  <c r="AS53" i="1"/>
  <c r="AQ53" i="1"/>
  <c r="AO48" i="1"/>
  <c r="AR53" i="1"/>
  <c r="AQ48" i="1"/>
  <c r="AU53" i="1"/>
  <c r="AR48" i="1"/>
  <c r="AQ54" i="1"/>
  <c r="AS48" i="1"/>
  <c r="AU48" i="1"/>
  <c r="AN44" i="1"/>
  <c r="AK44" i="1"/>
  <c r="AI44" i="1"/>
  <c r="AD44" i="1"/>
  <c r="AE44" i="1"/>
  <c r="AA44" i="1"/>
  <c r="AC44" i="1"/>
  <c r="AS35" i="1"/>
  <c r="AS34" i="1"/>
  <c r="AS36" i="1"/>
  <c r="AS33" i="1"/>
  <c r="AS32" i="1"/>
  <c r="AS31" i="1"/>
  <c r="AT40" i="1"/>
  <c r="AT41" i="1" s="1"/>
  <c r="AT30" i="1"/>
  <c r="AR31" i="1"/>
  <c r="AR36" i="1"/>
  <c r="AR33" i="1"/>
  <c r="AR35" i="1"/>
  <c r="AR34" i="1"/>
  <c r="AR32" i="1"/>
  <c r="AQ34" i="1"/>
  <c r="AQ33" i="1"/>
  <c r="AQ32" i="1"/>
  <c r="AQ31" i="1"/>
  <c r="AQ36" i="1"/>
  <c r="AQ35" i="1"/>
  <c r="AL40" i="1"/>
  <c r="AL41" i="1" s="1"/>
  <c r="AL30" i="1"/>
  <c r="AO36" i="1"/>
  <c r="AO35" i="1"/>
  <c r="AO32" i="1"/>
  <c r="AO31" i="1"/>
  <c r="AO34" i="1"/>
  <c r="AO33" i="1"/>
  <c r="AP40" i="1"/>
  <c r="AP41" i="1" s="1"/>
  <c r="AP30" i="1"/>
  <c r="AU36" i="1"/>
  <c r="AU31" i="1"/>
  <c r="AU35" i="1"/>
  <c r="AU34" i="1"/>
  <c r="AU33" i="1"/>
  <c r="AU32" i="1"/>
  <c r="AO20" i="1"/>
  <c r="AQ20" i="1"/>
  <c r="AS20" i="1"/>
  <c r="AR20" i="1"/>
  <c r="AU20" i="1"/>
  <c r="AM22" i="1"/>
  <c r="AM47" i="1" s="1"/>
  <c r="AL20" i="1"/>
  <c r="AP28" i="1"/>
  <c r="AT28" i="1"/>
  <c r="AT50" i="1" s="1"/>
  <c r="AL28" i="1"/>
  <c r="AL50" i="1" s="1"/>
  <c r="AW20" i="1"/>
  <c r="AP48" i="1" l="1"/>
  <c r="AP50" i="1"/>
  <c r="AP38" i="1"/>
  <c r="AP37" i="1"/>
  <c r="AL54" i="1"/>
  <c r="AL38" i="1"/>
  <c r="AL37" i="1"/>
  <c r="AT54" i="1"/>
  <c r="AT38" i="1"/>
  <c r="AT37" i="1"/>
  <c r="AL53" i="1"/>
  <c r="AP53" i="1"/>
  <c r="AT53" i="1"/>
  <c r="AT48" i="1"/>
  <c r="AP54" i="1"/>
  <c r="AL48" i="1"/>
  <c r="AM44" i="1"/>
  <c r="AJ44" i="1"/>
  <c r="AP34" i="1"/>
  <c r="AP33" i="1"/>
  <c r="AP32" i="1"/>
  <c r="AP31" i="1"/>
  <c r="AP36" i="1"/>
  <c r="AP35" i="1"/>
  <c r="AL36" i="1"/>
  <c r="AL31" i="1"/>
  <c r="AL35" i="1"/>
  <c r="AL34" i="1"/>
  <c r="AL33" i="1"/>
  <c r="AL32" i="1"/>
  <c r="AT36" i="1"/>
  <c r="AT31" i="1"/>
  <c r="AT35" i="1"/>
  <c r="AT32" i="1"/>
  <c r="AT34" i="1"/>
  <c r="AT33" i="1"/>
  <c r="AS21" i="1"/>
  <c r="AR22" i="1"/>
  <c r="AR21" i="1"/>
  <c r="AR47" i="1" s="1"/>
  <c r="AS22" i="1"/>
  <c r="AT20" i="1"/>
  <c r="AP20" i="1"/>
  <c r="AO21" i="1"/>
  <c r="AL21" i="1"/>
  <c r="AQ21" i="1"/>
  <c r="AW21" i="1"/>
  <c r="AW22" i="1"/>
  <c r="AU21" i="1"/>
  <c r="W27" i="1"/>
  <c r="W29" i="1" s="1"/>
  <c r="V27" i="1"/>
  <c r="V29" i="1" s="1"/>
  <c r="U27" i="1"/>
  <c r="U29" i="1" s="1"/>
  <c r="AW47" i="1" l="1"/>
  <c r="AS47" i="1"/>
  <c r="AR44" i="1"/>
  <c r="AT22" i="1"/>
  <c r="AS44" i="1"/>
  <c r="AP21" i="1"/>
  <c r="U40" i="1"/>
  <c r="W40" i="1"/>
  <c r="W41" i="1" s="1"/>
  <c r="W30" i="1"/>
  <c r="V40" i="1"/>
  <c r="V41" i="1" s="1"/>
  <c r="AP22" i="1"/>
  <c r="AT21" i="1"/>
  <c r="AT47" i="1" s="1"/>
  <c r="AV20" i="1"/>
  <c r="AL22" i="1"/>
  <c r="AL47" i="1" s="1"/>
  <c r="AU22" i="1"/>
  <c r="AQ22" i="1"/>
  <c r="AQ47" i="1" s="1"/>
  <c r="AO22" i="1"/>
  <c r="AO47" i="1" s="1"/>
  <c r="U28" i="1"/>
  <c r="U50" i="1" s="1"/>
  <c r="V28" i="1"/>
  <c r="V50" i="1" s="1"/>
  <c r="W28" i="1"/>
  <c r="W50" i="1" s="1"/>
  <c r="AY27" i="1"/>
  <c r="AY29" i="1" s="1"/>
  <c r="AU44" i="1" l="1"/>
  <c r="AU47" i="1"/>
  <c r="AP47" i="1"/>
  <c r="AL44" i="1"/>
  <c r="U41" i="1"/>
  <c r="W38" i="1"/>
  <c r="W37" i="1"/>
  <c r="V30" i="1"/>
  <c r="V32" i="1" s="1"/>
  <c r="U30" i="1"/>
  <c r="W48" i="1"/>
  <c r="V48" i="1"/>
  <c r="V53" i="1"/>
  <c r="W53" i="1"/>
  <c r="U53" i="1"/>
  <c r="U48" i="1"/>
  <c r="W54" i="1"/>
  <c r="AT44" i="1"/>
  <c r="AP44" i="1"/>
  <c r="AO44" i="1"/>
  <c r="W44" i="1"/>
  <c r="AQ44" i="1"/>
  <c r="W36" i="1"/>
  <c r="W31" i="1"/>
  <c r="W35" i="1"/>
  <c r="W34" i="1"/>
  <c r="W33" i="1"/>
  <c r="W32" i="1"/>
  <c r="AY40" i="1"/>
  <c r="AY41" i="1" s="1"/>
  <c r="AY30" i="1"/>
  <c r="V44" i="1"/>
  <c r="U35" i="1"/>
  <c r="U33" i="1"/>
  <c r="U32" i="1"/>
  <c r="U34" i="1"/>
  <c r="U31" i="1"/>
  <c r="AV21" i="1"/>
  <c r="AV22" i="1"/>
  <c r="AY28" i="1"/>
  <c r="AY50" i="1" s="1"/>
  <c r="AV27" i="1"/>
  <c r="AV29" i="1" s="1"/>
  <c r="AV47" i="1" l="1"/>
  <c r="V33" i="1"/>
  <c r="V34" i="1"/>
  <c r="V31" i="1"/>
  <c r="AY38" i="1"/>
  <c r="AY37" i="1"/>
  <c r="U36" i="1"/>
  <c r="U38" i="1"/>
  <c r="U37" i="1"/>
  <c r="V54" i="1"/>
  <c r="V38" i="1"/>
  <c r="V37" i="1"/>
  <c r="V36" i="1"/>
  <c r="AY53" i="1"/>
  <c r="U54" i="1"/>
  <c r="V35" i="1"/>
  <c r="AY48" i="1"/>
  <c r="AY54" i="1"/>
  <c r="U44" i="1"/>
  <c r="AY34" i="1"/>
  <c r="AY35" i="1"/>
  <c r="AY33" i="1"/>
  <c r="AY32" i="1"/>
  <c r="AY36" i="1"/>
  <c r="AY31" i="1"/>
  <c r="AV40" i="1"/>
  <c r="AV41" i="1" s="1"/>
  <c r="AV30" i="1"/>
  <c r="AV28" i="1"/>
  <c r="AW27" i="1"/>
  <c r="AW29" i="1" s="1"/>
  <c r="AV48" i="1" l="1"/>
  <c r="AV50" i="1"/>
  <c r="AV54" i="1"/>
  <c r="AV38" i="1"/>
  <c r="AV37" i="1"/>
  <c r="AV53" i="1"/>
  <c r="AY44" i="1"/>
  <c r="AW40" i="1"/>
  <c r="AW41" i="1" s="1"/>
  <c r="AW30" i="1"/>
  <c r="AV33" i="1"/>
  <c r="AV31" i="1"/>
  <c r="AV35" i="1"/>
  <c r="AV32" i="1"/>
  <c r="AV36" i="1"/>
  <c r="AV34" i="1"/>
  <c r="AW28" i="1"/>
  <c r="AW50" i="1" s="1"/>
  <c r="AX27" i="1"/>
  <c r="AX29" i="1" s="1"/>
  <c r="AW54" i="1" l="1"/>
  <c r="AW38" i="1"/>
  <c r="AW37" i="1"/>
  <c r="AW53" i="1"/>
  <c r="AW48" i="1"/>
  <c r="AV44" i="1"/>
  <c r="AW44" i="1"/>
  <c r="AW31" i="1"/>
  <c r="AW35" i="1"/>
  <c r="AW32" i="1"/>
  <c r="AW36" i="1"/>
  <c r="AW34" i="1"/>
  <c r="AW33" i="1"/>
  <c r="AX40" i="1"/>
  <c r="AX41" i="1" s="1"/>
  <c r="AX30" i="1"/>
  <c r="AX28" i="1"/>
  <c r="AX48" i="1" l="1"/>
  <c r="AX50" i="1"/>
  <c r="AX38" i="1"/>
  <c r="AX37" i="1"/>
  <c r="AX53" i="1"/>
  <c r="AX54" i="1"/>
  <c r="AX44" i="1"/>
  <c r="AX34" i="1"/>
  <c r="AX35" i="1"/>
  <c r="AX33" i="1"/>
  <c r="AX32" i="1"/>
  <c r="AX36" i="1"/>
  <c r="AX31" i="1"/>
  <c r="J27" i="1"/>
  <c r="J29" i="1" l="1"/>
  <c r="J30" i="1" s="1"/>
  <c r="J28" i="1"/>
  <c r="J50" i="1" s="1"/>
  <c r="J38" i="1" l="1"/>
  <c r="J37" i="1"/>
  <c r="J48" i="1"/>
  <c r="J44" i="1"/>
  <c r="J33" i="1"/>
  <c r="J36" i="1"/>
  <c r="J35" i="1"/>
  <c r="J31" i="1"/>
  <c r="J32" i="1"/>
  <c r="J34" i="1"/>
  <c r="K27" i="1"/>
  <c r="K29" i="1" l="1"/>
  <c r="K30" i="1" s="1"/>
  <c r="J54" i="1"/>
  <c r="J53" i="1"/>
  <c r="K28" i="1"/>
  <c r="T27" i="1"/>
  <c r="S27" i="1"/>
  <c r="R27" i="1"/>
  <c r="L27" i="1"/>
  <c r="L29" i="1" l="1"/>
  <c r="L30" i="1" s="1"/>
  <c r="R29" i="1"/>
  <c r="R30" i="1" s="1"/>
  <c r="R9" i="1"/>
  <c r="S29" i="1"/>
  <c r="S30" i="1" s="1"/>
  <c r="S9" i="1"/>
  <c r="T29" i="1"/>
  <c r="T30" i="1" s="1"/>
  <c r="T9" i="1"/>
  <c r="K48" i="1"/>
  <c r="K50" i="1"/>
  <c r="K38" i="1"/>
  <c r="K37" i="1"/>
  <c r="K44" i="1"/>
  <c r="L28" i="1"/>
  <c r="K53" i="1"/>
  <c r="R28" i="1"/>
  <c r="R50" i="1" s="1"/>
  <c r="S28" i="1"/>
  <c r="T28" i="1"/>
  <c r="T50" i="1" s="1"/>
  <c r="N27" i="1"/>
  <c r="T10" i="1" l="1"/>
  <c r="T11" i="1" s="1"/>
  <c r="T46" i="1"/>
  <c r="S10" i="1"/>
  <c r="S46" i="1"/>
  <c r="R10" i="1"/>
  <c r="R11" i="1" s="1"/>
  <c r="R46" i="1"/>
  <c r="T54" i="1"/>
  <c r="N29" i="1"/>
  <c r="N30" i="1" s="1"/>
  <c r="S48" i="1"/>
  <c r="S50" i="1"/>
  <c r="L48" i="1"/>
  <c r="L50" i="1"/>
  <c r="T38" i="1"/>
  <c r="T37" i="1"/>
  <c r="S11" i="1"/>
  <c r="S53" i="1" s="1"/>
  <c r="S37" i="1"/>
  <c r="S38" i="1"/>
  <c r="R37" i="1"/>
  <c r="R38" i="1"/>
  <c r="L38" i="1"/>
  <c r="L37" i="1"/>
  <c r="T53" i="1"/>
  <c r="L53" i="1"/>
  <c r="T48" i="1"/>
  <c r="L54" i="1"/>
  <c r="L34" i="1"/>
  <c r="L36" i="1"/>
  <c r="L33" i="1"/>
  <c r="L35" i="1"/>
  <c r="L32" i="1"/>
  <c r="L31" i="1"/>
  <c r="R48" i="1"/>
  <c r="K31" i="1"/>
  <c r="K54" i="1"/>
  <c r="R54" i="1"/>
  <c r="L44" i="1"/>
  <c r="T44" i="1"/>
  <c r="K34" i="1"/>
  <c r="K32" i="1"/>
  <c r="K35" i="1"/>
  <c r="K36" i="1"/>
  <c r="T35" i="1"/>
  <c r="T31" i="1"/>
  <c r="T33" i="1"/>
  <c r="T34" i="1"/>
  <c r="T32" i="1"/>
  <c r="T36" i="1"/>
  <c r="R34" i="1"/>
  <c r="R35" i="1"/>
  <c r="R33" i="1"/>
  <c r="R32" i="1"/>
  <c r="R36" i="1"/>
  <c r="R31" i="1"/>
  <c r="S34" i="1"/>
  <c r="S35" i="1"/>
  <c r="S33" i="1"/>
  <c r="S36" i="1"/>
  <c r="S31" i="1"/>
  <c r="K33" i="1"/>
  <c r="N28" i="1"/>
  <c r="O27" i="1"/>
  <c r="P27" i="1"/>
  <c r="Q27" i="1"/>
  <c r="M27" i="1"/>
  <c r="B7" i="2"/>
  <c r="C7" i="2" l="1"/>
  <c r="D7" i="2" s="1"/>
  <c r="E7" i="2" s="1"/>
  <c r="F7" i="2" s="1"/>
  <c r="G7" i="2" s="1"/>
  <c r="H7" i="2" s="1"/>
  <c r="B8" i="2"/>
  <c r="S44" i="1"/>
  <c r="R53" i="1"/>
  <c r="M29" i="1"/>
  <c r="M30" i="1" s="1"/>
  <c r="Q29" i="1"/>
  <c r="Q9" i="1"/>
  <c r="Q46" i="1" s="1"/>
  <c r="P29" i="1"/>
  <c r="P30" i="1" s="1"/>
  <c r="P54" i="1" s="1"/>
  <c r="O29" i="1"/>
  <c r="O30" i="1" s="1"/>
  <c r="O54" i="1" s="1"/>
  <c r="N48" i="1"/>
  <c r="N50" i="1"/>
  <c r="S54" i="1"/>
  <c r="N38" i="1"/>
  <c r="N37" i="1"/>
  <c r="N53" i="1"/>
  <c r="N54" i="1"/>
  <c r="N44" i="1"/>
  <c r="R44" i="1"/>
  <c r="N32" i="1"/>
  <c r="N31" i="1"/>
  <c r="N35" i="1"/>
  <c r="N33" i="1"/>
  <c r="N34" i="1"/>
  <c r="N36" i="1"/>
  <c r="O28" i="1"/>
  <c r="O50" i="1" s="1"/>
  <c r="M28" i="1"/>
  <c r="M50" i="1" s="1"/>
  <c r="Q28" i="1"/>
  <c r="P28" i="1"/>
  <c r="B9" i="2" l="1"/>
  <c r="C8" i="2"/>
  <c r="D8" i="2" s="1"/>
  <c r="E8" i="2" s="1"/>
  <c r="F8" i="2" s="1"/>
  <c r="G8" i="2" s="1"/>
  <c r="H8" i="2" s="1"/>
  <c r="Q10" i="1"/>
  <c r="P48" i="1"/>
  <c r="P50" i="1"/>
  <c r="Q48" i="1"/>
  <c r="Q50" i="1"/>
  <c r="O38" i="1"/>
  <c r="O37" i="1"/>
  <c r="P38" i="1"/>
  <c r="P37" i="1"/>
  <c r="Q30" i="1"/>
  <c r="Q31" i="1" s="1"/>
  <c r="M38" i="1"/>
  <c r="M37" i="1"/>
  <c r="M53" i="1"/>
  <c r="O53" i="1"/>
  <c r="P53" i="1"/>
  <c r="M48" i="1"/>
  <c r="O48" i="1"/>
  <c r="M54" i="1"/>
  <c r="M35" i="1"/>
  <c r="M33" i="1"/>
  <c r="M32" i="1"/>
  <c r="M31" i="1"/>
  <c r="M36" i="1"/>
  <c r="M34" i="1"/>
  <c r="O36" i="1"/>
  <c r="O31" i="1"/>
  <c r="O35" i="1"/>
  <c r="O32" i="1"/>
  <c r="O34" i="1"/>
  <c r="O33" i="1"/>
  <c r="P33" i="1"/>
  <c r="P31" i="1"/>
  <c r="P35" i="1"/>
  <c r="P32" i="1"/>
  <c r="P36" i="1"/>
  <c r="P34" i="1"/>
  <c r="B10" i="2" l="1"/>
  <c r="C9" i="2"/>
  <c r="D9" i="2" s="1"/>
  <c r="E9" i="2" s="1"/>
  <c r="F9" i="2" s="1"/>
  <c r="G9" i="2" s="1"/>
  <c r="H9" i="2" s="1"/>
  <c r="Q11" i="1"/>
  <c r="Q53" i="1"/>
  <c r="Q34" i="1"/>
  <c r="Q35" i="1"/>
  <c r="Q32" i="1"/>
  <c r="Q33" i="1"/>
  <c r="Q36" i="1"/>
  <c r="Q37" i="1"/>
  <c r="Q38" i="1"/>
  <c r="Q54" i="1"/>
  <c r="C26" i="8"/>
  <c r="C28" i="8" s="1"/>
  <c r="D7" i="8" s="1"/>
  <c r="B28" i="8"/>
  <c r="P44" i="1"/>
  <c r="M44" i="1"/>
  <c r="O44" i="1"/>
  <c r="B11" i="2" l="1"/>
  <c r="C10" i="2"/>
  <c r="D10" i="2" s="1"/>
  <c r="E10" i="2" s="1"/>
  <c r="F10" i="2" s="1"/>
  <c r="G10" i="2" s="1"/>
  <c r="H10" i="2" s="1"/>
  <c r="C12" i="8"/>
  <c r="C13" i="8"/>
  <c r="Q44" i="1"/>
  <c r="C11" i="2" l="1"/>
  <c r="D11" i="2" s="1"/>
  <c r="E11" i="2" s="1"/>
  <c r="F11" i="2" s="1"/>
  <c r="G11" i="2" s="1"/>
  <c r="H11" i="2" s="1"/>
  <c r="B12" i="2"/>
  <c r="C17" i="8"/>
  <c r="B17" i="8"/>
  <c r="B30" i="8" s="1"/>
  <c r="C30" i="8" l="1"/>
  <c r="D5" i="8"/>
  <c r="D8" i="8" s="1"/>
  <c r="B13" i="2"/>
  <c r="C12" i="2"/>
  <c r="D12" i="2" s="1"/>
  <c r="E12" i="2" s="1"/>
  <c r="F12" i="2" s="1"/>
  <c r="G12" i="2" s="1"/>
  <c r="H12" i="2" s="1"/>
  <c r="B31" i="8"/>
  <c r="B34" i="8"/>
  <c r="C13" i="2" l="1"/>
  <c r="D13" i="2" s="1"/>
  <c r="E13" i="2" s="1"/>
  <c r="F13" i="2" s="1"/>
  <c r="G13" i="2" s="1"/>
  <c r="H13" i="2" s="1"/>
  <c r="B14" i="2"/>
  <c r="B15" i="2" l="1"/>
  <c r="C14" i="2"/>
  <c r="D14" i="2" s="1"/>
  <c r="E14" i="2" s="1"/>
  <c r="F14" i="2" s="1"/>
  <c r="G14" i="2" s="1"/>
  <c r="H14" i="2" s="1"/>
  <c r="C15" i="2" l="1"/>
  <c r="D15" i="2" s="1"/>
  <c r="E15" i="2" s="1"/>
  <c r="F15" i="2" s="1"/>
  <c r="G15" i="2" s="1"/>
  <c r="H15" i="2" s="1"/>
  <c r="B16" i="2"/>
  <c r="B17" i="2" l="1"/>
  <c r="C16" i="2"/>
  <c r="D16" i="2" s="1"/>
  <c r="E16" i="2" s="1"/>
  <c r="F16" i="2" s="1"/>
  <c r="G16" i="2" s="1"/>
  <c r="H16" i="2" s="1"/>
  <c r="B18" i="2" l="1"/>
  <c r="C17" i="2"/>
  <c r="D17" i="2" s="1"/>
  <c r="E17" i="2" s="1"/>
  <c r="F17" i="2" s="1"/>
  <c r="G17" i="2" s="1"/>
  <c r="H17" i="2" s="1"/>
  <c r="B19" i="2" l="1"/>
  <c r="C18" i="2"/>
  <c r="D18" i="2" s="1"/>
  <c r="E18" i="2" s="1"/>
  <c r="F18" i="2" s="1"/>
  <c r="G18" i="2" s="1"/>
  <c r="H18" i="2" s="1"/>
  <c r="C19" i="2" l="1"/>
  <c r="D19" i="2" s="1"/>
  <c r="E19" i="2" s="1"/>
  <c r="F19" i="2" s="1"/>
  <c r="G19" i="2" s="1"/>
  <c r="H19" i="2" s="1"/>
  <c r="B20" i="2"/>
  <c r="C20" i="2" l="1"/>
  <c r="D20" i="2" s="1"/>
  <c r="E20" i="2" s="1"/>
  <c r="F20" i="2" s="1"/>
  <c r="G20" i="2" s="1"/>
  <c r="H20" i="2" s="1"/>
  <c r="B21" i="2"/>
  <c r="C21" i="2" l="1"/>
  <c r="D21" i="2" s="1"/>
  <c r="E21" i="2" s="1"/>
  <c r="F21" i="2" s="1"/>
  <c r="G21" i="2" s="1"/>
  <c r="H21" i="2" s="1"/>
  <c r="B22" i="2"/>
  <c r="B23" i="2" l="1"/>
  <c r="C22" i="2"/>
  <c r="D22" i="2" s="1"/>
  <c r="E22" i="2" s="1"/>
  <c r="F22" i="2" s="1"/>
  <c r="G22" i="2" s="1"/>
  <c r="H22" i="2" s="1"/>
  <c r="C23" i="2" l="1"/>
  <c r="D23" i="2" s="1"/>
  <c r="E23" i="2" s="1"/>
  <c r="F23" i="2" s="1"/>
  <c r="G23" i="2" s="1"/>
  <c r="H23" i="2" s="1"/>
  <c r="B24" i="2"/>
  <c r="C24" i="2" l="1"/>
  <c r="D24" i="2" s="1"/>
  <c r="E24" i="2" s="1"/>
  <c r="F24" i="2" s="1"/>
  <c r="G24" i="2" s="1"/>
  <c r="H24" i="2" s="1"/>
  <c r="B25" i="2"/>
  <c r="B26" i="2" l="1"/>
  <c r="C25" i="2"/>
  <c r="D25" i="2" s="1"/>
  <c r="E25" i="2" s="1"/>
  <c r="F25" i="2" s="1"/>
  <c r="G25" i="2" s="1"/>
  <c r="H25" i="2" s="1"/>
  <c r="B27" i="2" l="1"/>
  <c r="C26" i="2"/>
  <c r="D26" i="2" s="1"/>
  <c r="E26" i="2" s="1"/>
  <c r="F26" i="2" s="1"/>
  <c r="G26" i="2" s="1"/>
  <c r="H26" i="2" s="1"/>
  <c r="C27" i="2" l="1"/>
  <c r="D27" i="2" s="1"/>
  <c r="E27" i="2" s="1"/>
  <c r="F27" i="2" s="1"/>
  <c r="G27" i="2" s="1"/>
  <c r="H27" i="2" s="1"/>
  <c r="B28" i="2"/>
  <c r="C28" i="2" l="1"/>
  <c r="D28" i="2" s="1"/>
  <c r="E28" i="2" s="1"/>
  <c r="F28" i="2" s="1"/>
  <c r="G28" i="2" s="1"/>
  <c r="H28" i="2" s="1"/>
  <c r="B29" i="2"/>
  <c r="C29" i="2" l="1"/>
  <c r="D29" i="2" s="1"/>
  <c r="E29" i="2" s="1"/>
  <c r="F29" i="2" s="1"/>
  <c r="G29" i="2" s="1"/>
  <c r="H29" i="2" s="1"/>
  <c r="B30" i="2"/>
  <c r="B31" i="2" l="1"/>
  <c r="C30" i="2"/>
  <c r="D30" i="2" s="1"/>
  <c r="E30" i="2" s="1"/>
  <c r="F30" i="2" s="1"/>
  <c r="G30" i="2" s="1"/>
  <c r="H30" i="2" s="1"/>
  <c r="C31" i="2" l="1"/>
  <c r="D31" i="2" s="1"/>
  <c r="E31" i="2" s="1"/>
  <c r="F31" i="2" s="1"/>
  <c r="G31" i="2" s="1"/>
  <c r="H31" i="2" s="1"/>
  <c r="B32" i="2"/>
  <c r="B33" i="2" l="1"/>
  <c r="C32" i="2"/>
  <c r="D32" i="2" s="1"/>
  <c r="E32" i="2" s="1"/>
  <c r="F32" i="2" s="1"/>
  <c r="G32" i="2" s="1"/>
  <c r="H32" i="2" s="1"/>
  <c r="B34" i="2" l="1"/>
  <c r="C33" i="2"/>
  <c r="D33" i="2" s="1"/>
  <c r="E33" i="2" s="1"/>
  <c r="F33" i="2" s="1"/>
  <c r="G33" i="2" s="1"/>
  <c r="H33" i="2" s="1"/>
  <c r="B35" i="2" l="1"/>
  <c r="C34" i="2"/>
  <c r="D34" i="2" s="1"/>
  <c r="E34" i="2" s="1"/>
  <c r="F34" i="2" s="1"/>
  <c r="G34" i="2" s="1"/>
  <c r="H34" i="2" s="1"/>
  <c r="C35" i="2" l="1"/>
  <c r="D35" i="2" s="1"/>
  <c r="E35" i="2" s="1"/>
  <c r="F35" i="2" s="1"/>
  <c r="G35" i="2" s="1"/>
  <c r="H35" i="2" s="1"/>
  <c r="B36" i="2"/>
  <c r="B37" i="2" l="1"/>
  <c r="C36" i="2"/>
  <c r="D36" i="2" s="1"/>
  <c r="E36" i="2" s="1"/>
  <c r="F36" i="2" s="1"/>
  <c r="G36" i="2" s="1"/>
  <c r="H36" i="2" s="1"/>
  <c r="C37" i="2" l="1"/>
  <c r="D37" i="2" s="1"/>
  <c r="E37" i="2" s="1"/>
  <c r="F37" i="2" s="1"/>
  <c r="G37" i="2" s="1"/>
  <c r="H37" i="2" s="1"/>
  <c r="B38" i="2"/>
  <c r="B39" i="2" l="1"/>
  <c r="C38" i="2"/>
  <c r="D38" i="2" s="1"/>
  <c r="E38" i="2" s="1"/>
  <c r="F38" i="2" s="1"/>
  <c r="G38" i="2" s="1"/>
  <c r="H38" i="2" s="1"/>
  <c r="C39" i="2" l="1"/>
  <c r="D39" i="2" s="1"/>
  <c r="E39" i="2" s="1"/>
  <c r="F39" i="2" s="1"/>
  <c r="G39" i="2" s="1"/>
  <c r="H39" i="2" s="1"/>
  <c r="B40" i="2"/>
  <c r="C40" i="2" l="1"/>
  <c r="D40" i="2" s="1"/>
  <c r="E40" i="2" s="1"/>
  <c r="F40" i="2" s="1"/>
  <c r="G40" i="2" s="1"/>
  <c r="H40" i="2" s="1"/>
  <c r="B41" i="2"/>
  <c r="B42" i="2" l="1"/>
  <c r="C41" i="2"/>
  <c r="D41" i="2" s="1"/>
  <c r="E41" i="2" s="1"/>
  <c r="F41" i="2" s="1"/>
  <c r="G41" i="2" s="1"/>
  <c r="H41" i="2" s="1"/>
  <c r="B43" i="2" l="1"/>
  <c r="C42" i="2"/>
  <c r="D42" i="2" s="1"/>
  <c r="E42" i="2" s="1"/>
  <c r="F42" i="2" s="1"/>
  <c r="G42" i="2" s="1"/>
  <c r="H42" i="2" s="1"/>
  <c r="C43" i="2" l="1"/>
  <c r="D43" i="2" s="1"/>
  <c r="E43" i="2" s="1"/>
  <c r="F43" i="2" s="1"/>
  <c r="G43" i="2" s="1"/>
  <c r="H43" i="2" s="1"/>
  <c r="B44" i="2"/>
  <c r="C44" i="2" l="1"/>
  <c r="D44" i="2" s="1"/>
  <c r="E44" i="2" s="1"/>
  <c r="F44" i="2" s="1"/>
  <c r="G44" i="2" s="1"/>
  <c r="H44" i="2" s="1"/>
  <c r="B45" i="2"/>
  <c r="C45" i="2" l="1"/>
  <c r="D45" i="2" s="1"/>
  <c r="E45" i="2" s="1"/>
  <c r="F45" i="2" s="1"/>
  <c r="G45" i="2" s="1"/>
  <c r="H45" i="2" s="1"/>
  <c r="B46" i="2"/>
  <c r="B47" i="2" l="1"/>
  <c r="C46" i="2"/>
  <c r="D46" i="2" s="1"/>
  <c r="E46" i="2" s="1"/>
  <c r="F46" i="2" s="1"/>
  <c r="G46" i="2" s="1"/>
  <c r="H46" i="2" s="1"/>
  <c r="C47" i="2" l="1"/>
  <c r="B48" i="2"/>
  <c r="B49" i="2" s="1"/>
  <c r="B50" i="2" s="1"/>
  <c r="B51" i="2" s="1"/>
  <c r="B52" i="2" s="1"/>
  <c r="B53" i="2" s="1"/>
  <c r="B54" i="2" s="1"/>
  <c r="D47" i="2" l="1"/>
  <c r="C48" i="2"/>
  <c r="C49" i="2" s="1"/>
  <c r="C50" i="2" s="1"/>
  <c r="C51" i="2" s="1"/>
  <c r="C52" i="2" s="1"/>
  <c r="C53" i="2" s="1"/>
  <c r="C54" i="2" s="1"/>
  <c r="E47" i="2" l="1"/>
  <c r="D48" i="2"/>
  <c r="D49" i="2" s="1"/>
  <c r="D50" i="2" s="1"/>
  <c r="D51" i="2" s="1"/>
  <c r="D52" i="2" s="1"/>
  <c r="D53" i="2" s="1"/>
  <c r="D54" i="2" s="1"/>
  <c r="E48" i="2" l="1"/>
  <c r="E49" i="2" s="1"/>
  <c r="E50" i="2" s="1"/>
  <c r="E51" i="2" s="1"/>
  <c r="E52" i="2" s="1"/>
  <c r="E53" i="2" s="1"/>
  <c r="E54" i="2" s="1"/>
  <c r="F47" i="2"/>
  <c r="F48" i="2" l="1"/>
  <c r="F49" i="2" s="1"/>
  <c r="F50" i="2" s="1"/>
  <c r="F51" i="2" s="1"/>
  <c r="F52" i="2" s="1"/>
  <c r="F53" i="2" s="1"/>
  <c r="F54" i="2" s="1"/>
  <c r="G47" i="2"/>
  <c r="H47" i="2" l="1"/>
  <c r="H48" i="2" s="1"/>
  <c r="H49" i="2" s="1"/>
  <c r="H50" i="2" s="1"/>
  <c r="H51" i="2" s="1"/>
  <c r="H52" i="2" s="1"/>
  <c r="H53" i="2" s="1"/>
  <c r="H54" i="2" s="1"/>
  <c r="G48" i="2"/>
  <c r="G49" i="2" s="1"/>
  <c r="G50" i="2" s="1"/>
  <c r="G51" i="2" s="1"/>
  <c r="G52" i="2" s="1"/>
  <c r="G53" i="2" s="1"/>
  <c r="G54" i="2" s="1"/>
</calcChain>
</file>

<file path=xl/sharedStrings.xml><?xml version="1.0" encoding="utf-8"?>
<sst xmlns="http://schemas.openxmlformats.org/spreadsheetml/2006/main" count="639" uniqueCount="123">
  <si>
    <t>SIDE GAME CALCULATOR</t>
  </si>
  <si>
    <t>SAN ANTONIO</t>
  </si>
  <si>
    <t>AUSTIN</t>
  </si>
  <si>
    <t>EDIT</t>
  </si>
  <si>
    <t>9 or 18</t>
  </si>
  <si>
    <t>TOTAL</t>
  </si>
  <si>
    <t>MWP</t>
  </si>
  <si>
    <t>Total Players</t>
  </si>
  <si>
    <t>Net Players</t>
  </si>
  <si>
    <t xml:space="preserve"> </t>
  </si>
  <si>
    <t>Gross Players</t>
  </si>
  <si>
    <t>Total</t>
  </si>
  <si>
    <t>INCLUDED Games</t>
  </si>
  <si>
    <t>Prize Fund</t>
  </si>
  <si>
    <t>1st</t>
  </si>
  <si>
    <t>2nd</t>
  </si>
  <si>
    <t>Closest to Pin #1</t>
  </si>
  <si>
    <t>Closest to Pin #2</t>
  </si>
  <si>
    <t>Closest to Pin #3</t>
  </si>
  <si>
    <t>MVP</t>
  </si>
  <si>
    <t>Closest to Pin #4</t>
  </si>
  <si>
    <t>TGF MVP</t>
  </si>
  <si>
    <t>Hole-In-One</t>
  </si>
  <si>
    <t>NET</t>
  </si>
  <si>
    <t>Subtotal</t>
  </si>
  <si>
    <t>NET Games</t>
  </si>
  <si>
    <t>Flights</t>
  </si>
  <si>
    <t>3rd</t>
  </si>
  <si>
    <t>4th</t>
  </si>
  <si>
    <t>Individual Net</t>
  </si>
  <si>
    <t>City MVP</t>
  </si>
  <si>
    <t>GROSS Games</t>
  </si>
  <si>
    <t>Skins</t>
  </si>
  <si>
    <t>Individual Gross</t>
  </si>
  <si>
    <t>Difference</t>
  </si>
  <si>
    <t>GRAND TOTAL</t>
  </si>
  <si>
    <t>9 HOLE EVENTS</t>
  </si>
  <si>
    <t>EVENT Games</t>
  </si>
  <si>
    <t>TOTAL POT</t>
  </si>
  <si>
    <t>TEAM GAMES</t>
  </si>
  <si>
    <t>No Event</t>
  </si>
  <si>
    <t>1st Place</t>
  </si>
  <si>
    <t>2nd Place</t>
  </si>
  <si>
    <t>CART Net</t>
  </si>
  <si>
    <t>TEAM Net</t>
  </si>
  <si>
    <t>CLOSEST TO PINS</t>
  </si>
  <si>
    <t>CLOSEST TO PIN #1</t>
  </si>
  <si>
    <t>No Game</t>
  </si>
  <si>
    <t>CLOSEST TO PIN #2</t>
  </si>
  <si>
    <t>HOLE-IN-ONE POT</t>
  </si>
  <si>
    <t>INDIVIDUAL NET</t>
  </si>
  <si>
    <t>LOW FLIGHT</t>
  </si>
  <si>
    <t>3rd Place</t>
  </si>
  <si>
    <t>HIGH FLIGHT</t>
  </si>
  <si>
    <t>FLIGHTS</t>
  </si>
  <si>
    <t>CITY MVP</t>
  </si>
  <si>
    <t>SKINS</t>
  </si>
  <si>
    <t xml:space="preserve">    1 Skin</t>
  </si>
  <si>
    <t xml:space="preserve">    2 Skins</t>
  </si>
  <si>
    <t xml:space="preserve">    3 Skins</t>
  </si>
  <si>
    <t xml:space="preserve">    4 Skins</t>
  </si>
  <si>
    <t xml:space="preserve">    5 Skins</t>
  </si>
  <si>
    <t xml:space="preserve">    6 Skins</t>
  </si>
  <si>
    <t xml:space="preserve">    7 Skins</t>
  </si>
  <si>
    <t xml:space="preserve">    8 Skins</t>
  </si>
  <si>
    <t xml:space="preserve">    9 Skins</t>
  </si>
  <si>
    <t>INDIVIDUAL GROSS</t>
  </si>
  <si>
    <t>LOW GROSS</t>
  </si>
  <si>
    <t>Prizes / Field %</t>
  </si>
  <si>
    <t>Event Games Remaining</t>
  </si>
  <si>
    <t>Net Remaining</t>
  </si>
  <si>
    <t>Gross Remaining</t>
  </si>
  <si>
    <t>TOTAL COMBINED</t>
  </si>
  <si>
    <t>Max Potential NET</t>
  </si>
  <si>
    <t>Max Potential GROSS</t>
  </si>
  <si>
    <t>Max Potential TOTAL</t>
  </si>
  <si>
    <t>18 HOLE EVENTS</t>
  </si>
  <si>
    <t>CLOSEST TO PIN #3</t>
  </si>
  <si>
    <t>CLOSEST TO PIN #4</t>
  </si>
  <si>
    <t>% Paid</t>
  </si>
  <si>
    <t>4th Place</t>
  </si>
  <si>
    <t>MID FLIGHT</t>
  </si>
  <si>
    <t>4TH FLIGHT</t>
  </si>
  <si>
    <t>1/2 NET SKINS</t>
  </si>
  <si>
    <t>GROSS SKINS</t>
  </si>
  <si>
    <t>SKINS WON</t>
  </si>
  <si>
    <t>TOTAL COMBINED POTS</t>
  </si>
  <si>
    <t>Max Potential EVENT GAMES</t>
  </si>
  <si>
    <t>INCLUDED GAMES</t>
  </si>
  <si>
    <t>TEAM</t>
  </si>
  <si>
    <t>MPW</t>
  </si>
  <si>
    <t>HOLE-IN-ONE</t>
  </si>
  <si>
    <t>MEMBER GAMES</t>
  </si>
  <si>
    <t>CTP#1</t>
  </si>
  <si>
    <t>CTP#2</t>
  </si>
  <si>
    <t>CTP#3</t>
  </si>
  <si>
    <t>GROSS GAMES</t>
  </si>
  <si>
    <t>M</t>
  </si>
  <si>
    <t>T</t>
  </si>
  <si>
    <t>W</t>
  </si>
  <si>
    <t>R</t>
  </si>
  <si>
    <t>F</t>
  </si>
  <si>
    <t>Sa</t>
  </si>
  <si>
    <t>Su</t>
  </si>
  <si>
    <t>EVENTS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</si>
  <si>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</si>
  <si>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</si>
  <si>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</si>
  <si>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</si>
  <si>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</si>
  <si>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</si>
  <si>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</si>
  <si>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</si>
  <si>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</si>
  <si>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</si>
  <si>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</si>
  <si>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</si>
  <si>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Event Holes</t>
  </si>
  <si>
    <t>Chapter</t>
  </si>
  <si>
    <t>Austin</t>
  </si>
  <si>
    <t>San Antonio</t>
  </si>
  <si>
    <t>DFW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</si>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</sst>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d"/>
    <numFmt numFmtId="165" formatCode="&quot;$&quot;#,##0.00"/>
  </numFmts>
  <fonts count="6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ource Sans Pro"/>
      <family val="2"/>
    </font>
    <font>
      <b/>
      <sz val="11"/>
      <color theme="1"/>
      <name val="Source Sans Pro"/>
      <family val="2"/>
    </font>
    <font>
      <b/>
      <sz val="14"/>
      <color theme="0"/>
      <name val="Source Sans Pro"/>
      <family val="2"/>
    </font>
    <font>
      <b/>
      <sz val="11"/>
      <color theme="0"/>
      <name val="Source Sans Pro"/>
      <family val="2"/>
    </font>
    <font>
      <b/>
      <sz val="18"/>
      <color theme="1"/>
      <name val="Source Sans Pro"/>
      <family val="2"/>
    </font>
    <font>
      <sz val="9"/>
      <color theme="1"/>
      <name val="Source Sans Pro"/>
      <family val="2"/>
    </font>
    <font>
      <b/>
      <sz val="9"/>
      <color theme="1"/>
      <name val="Source Sans Pro"/>
      <family val="2"/>
    </font>
    <font>
      <sz val="14"/>
      <color theme="1"/>
      <name val="Source Sans Pro"/>
      <family val="2"/>
    </font>
    <font>
      <b/>
      <sz val="9"/>
      <color theme="0"/>
      <name val="Source Sans Pro"/>
      <family val="2"/>
    </font>
    <font>
      <i/>
      <sz val="9"/>
      <color theme="1"/>
      <name val="Source Sans Pro"/>
      <family val="2"/>
    </font>
    <font>
      <b/>
      <sz val="12"/>
      <color theme="0"/>
      <name val="Source Sans Pro"/>
      <family val="2"/>
    </font>
    <font>
      <b/>
      <i/>
      <sz val="9"/>
      <color theme="9" tint="-0.249977111117893"/>
      <name val="Source Sans Pro"/>
      <family val="2"/>
    </font>
    <font>
      <sz val="10"/>
      <color theme="1"/>
      <name val="Source Sans Pro"/>
      <family val="2"/>
    </font>
    <font>
      <b/>
      <sz val="10"/>
      <color theme="0"/>
      <name val="Source Sans Pro"/>
      <family val="2"/>
    </font>
    <font>
      <b/>
      <sz val="9"/>
      <color rgb="FFC00000"/>
      <name val="Source Sans Pro"/>
      <family val="2"/>
    </font>
    <font>
      <sz val="9"/>
      <color rgb="FFC00000"/>
      <name val="Source Sans Pro"/>
      <family val="2"/>
    </font>
    <font>
      <b/>
      <sz val="9"/>
      <name val="Source Sans Pro"/>
      <family val="2"/>
    </font>
    <font>
      <b/>
      <i/>
      <sz val="11"/>
      <color theme="9" tint="-0.249977111117893"/>
      <name val="Source Sans Pro"/>
      <family val="2"/>
    </font>
    <font>
      <b/>
      <i/>
      <sz val="12"/>
      <color theme="9" tint="-0.249977111117893"/>
      <name val="Source Sans Pro"/>
      <family val="2"/>
    </font>
    <font>
      <i/>
      <sz val="9"/>
      <color theme="9" tint="-0.249977111117893"/>
      <name val="Source Sans Pro"/>
      <family val="2"/>
    </font>
    <font>
      <b/>
      <i/>
      <sz val="12"/>
      <color theme="9" tint="-0.249977111117893"/>
      <name val="Source Sans Pro Italic"/>
    </font>
    <font>
      <sz val="12"/>
      <color theme="1"/>
      <name val="Source Sans Pro"/>
      <family val="2"/>
    </font>
    <font>
      <b/>
      <i/>
      <sz val="12"/>
      <color rgb="FFC00000"/>
      <name val="Source Sans Pro Italic"/>
    </font>
    <font>
      <b/>
      <i/>
      <sz val="12"/>
      <color rgb="FFC00000"/>
      <name val="Source Sans Pro"/>
      <family val="2"/>
    </font>
    <font>
      <i/>
      <sz val="12"/>
      <color theme="1"/>
      <name val="Source Sans Pro"/>
      <family val="2"/>
    </font>
    <font>
      <b/>
      <i/>
      <sz val="12"/>
      <color theme="1"/>
      <name val="Source Sans Pro"/>
      <family val="2"/>
    </font>
    <font>
      <sz val="11"/>
      <color theme="1"/>
      <name val="Source Sans Pro"/>
      <family val="2"/>
    </font>
    <font>
      <b/>
      <sz val="11"/>
      <color theme="9" tint="-0.249977111117893"/>
      <name val="Source Sans Pro"/>
      <family val="2"/>
    </font>
    <font>
      <sz val="11"/>
      <color theme="9" tint="-0.249977111117893"/>
      <name val="Source Sans Pro"/>
      <family val="2"/>
    </font>
    <font>
      <b/>
      <sz val="14"/>
      <color theme="1"/>
      <name val="Source Sans Pro"/>
      <family val="2"/>
    </font>
    <font>
      <sz val="10"/>
      <color theme="0"/>
      <name val="Source Sans Pro"/>
      <family val="2"/>
    </font>
    <font>
      <b/>
      <sz val="11"/>
      <color rgb="FFC00000"/>
      <name val="Source Sans Pro"/>
      <family val="2"/>
    </font>
    <font>
      <sz val="8"/>
      <color rgb="FFC00000"/>
      <name val="Source Sans Pro"/>
      <family val="2"/>
    </font>
    <font>
      <sz val="8"/>
      <color rgb="FFC00000"/>
      <name val="Source Sans Pro"/>
    </font>
    <font>
      <b/>
      <sz val="11"/>
      <color theme="0"/>
      <name val="Source Sans Pro"/>
    </font>
    <font>
      <sz val="10"/>
      <color theme="0"/>
      <name val="Source Sans Pro"/>
    </font>
    <font>
      <b/>
      <sz val="10"/>
      <color theme="0"/>
      <name val="Source Sans Pro"/>
    </font>
    <font>
      <sz val="11"/>
      <color theme="1"/>
      <name val="Source Sans Pro"/>
    </font>
    <font>
      <sz val="9"/>
      <color theme="1"/>
      <name val="Source Sans Pro"/>
    </font>
    <font>
      <sz val="12"/>
      <color theme="1"/>
      <name val="Source Sans Pro"/>
    </font>
    <font>
      <b/>
      <sz val="9"/>
      <color theme="1"/>
      <name val="Source Sans Pro"/>
    </font>
    <font>
      <b/>
      <sz val="11"/>
      <color theme="1"/>
      <name val="Source Sans Pro"/>
    </font>
    <font>
      <b/>
      <i/>
      <sz val="12"/>
      <color rgb="FFC00000"/>
      <name val="Source Sans Pro"/>
    </font>
    <font>
      <b/>
      <i/>
      <sz val="9"/>
      <color theme="9" tint="-0.249977111117893"/>
      <name val="Source Sans Pro"/>
    </font>
    <font>
      <b/>
      <i/>
      <sz val="12"/>
      <color theme="9" tint="-0.249977111117893"/>
      <name val="Source Sans Pro"/>
    </font>
    <font>
      <b/>
      <i/>
      <sz val="11"/>
      <color theme="9" tint="-0.249977111117893"/>
      <name val="Source Sans Pro"/>
    </font>
    <font>
      <sz val="10"/>
      <color rgb="FFC00000"/>
      <name val="Source Sans Pro"/>
      <family val="2"/>
    </font>
    <font>
      <sz val="10"/>
      <color theme="1"/>
      <name val="Source Sans Pro"/>
    </font>
    <font>
      <b/>
      <i/>
      <sz val="9"/>
      <color rgb="FFC00000"/>
      <name val="Source Sans Pro"/>
      <family val="2"/>
    </font>
    <font>
      <b/>
      <i/>
      <sz val="9"/>
      <color rgb="FFC00000"/>
      <name val="Source Sans Pro"/>
    </font>
    <font>
      <b/>
      <sz val="14"/>
      <color theme="0"/>
      <name val="Source Sans Pro"/>
    </font>
    <font>
      <sz val="9"/>
      <color rgb="FFC00000"/>
      <name val="Source Sans Pro"/>
    </font>
    <font>
      <b/>
      <sz val="10"/>
      <name val="Source Sans Pro"/>
      <family val="2"/>
    </font>
    <font>
      <b/>
      <sz val="14"/>
      <name val="Source Sans Pro"/>
      <family val="2"/>
    </font>
    <font>
      <sz val="8"/>
      <color theme="0"/>
      <name val="Source Sans Pro"/>
      <family val="2"/>
    </font>
    <font>
      <i/>
      <sz val="9"/>
      <color theme="9" tint="-0.249977111117893"/>
      <name val="Source Sans Pro"/>
    </font>
    <font>
      <b/>
      <sz val="10"/>
      <color theme="1"/>
      <name val="Source Sans Pro"/>
      <family val="2"/>
    </font>
    <font>
      <b/>
      <sz val="11"/>
      <color theme="9" tint="-0.249977111117893"/>
      <name val="Source Sans Pro"/>
    </font>
    <font>
      <sz val="11"/>
      <color theme="9" tint="-0.249977111117893"/>
      <name val="Source Sans Pro"/>
    </font>
    <font>
      <sz val="8"/>
      <color theme="1"/>
      <name val="Source Sans Pro"/>
    </font>
    <font>
      <b/>
      <sz val="8"/>
      <color theme="0"/>
      <name val="Source Sans Pro"/>
    </font>
    <font>
      <sz val="8"/>
      <name val="Source Sans Pro"/>
    </font>
    <font>
      <sz val="8"/>
      <color theme="0"/>
      <name val="Source Sans Pro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CC"/>
        <bgColor indexed="64"/>
      </patternFill>
    </fill>
  </fills>
  <borders count="2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 style="thin">
        <color indexed="64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thin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/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medium">
        <color indexed="64"/>
      </top>
      <bottom style="thin">
        <color indexed="64"/>
      </bottom>
      <diagonal/>
    </border>
    <border>
      <left style="hair">
        <color theme="0" tint="-0.14996795556505021"/>
      </left>
      <right/>
      <top style="medium">
        <color indexed="64"/>
      </top>
      <bottom style="thin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thin">
        <color indexed="64"/>
      </bottom>
      <diagonal/>
    </border>
    <border>
      <left/>
      <right style="hair">
        <color theme="0" tint="-0.14996795556505021"/>
      </right>
      <top style="thin">
        <color indexed="64"/>
      </top>
      <bottom style="thin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thin">
        <color indexed="64"/>
      </top>
      <bottom style="thin">
        <color indexed="64"/>
      </bottom>
      <diagonal/>
    </border>
    <border>
      <left style="hair">
        <color theme="0" tint="-0.14996795556505021"/>
      </left>
      <right style="medium">
        <color auto="1"/>
      </right>
      <top/>
      <bottom style="thin">
        <color indexed="64"/>
      </bottom>
      <diagonal/>
    </border>
    <border>
      <left style="hair">
        <color theme="0" tint="-0.14996795556505021"/>
      </left>
      <right style="medium">
        <color auto="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auto="1"/>
      </right>
      <top style="hair">
        <color theme="0" tint="-0.14996795556505021"/>
      </top>
      <bottom style="thin">
        <color indexed="64"/>
      </bottom>
      <diagonal/>
    </border>
    <border>
      <left style="hair">
        <color theme="0" tint="-0.1499679555650502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hair">
        <color theme="0" tint="-0.14996795556505021"/>
      </bottom>
      <diagonal/>
    </border>
    <border>
      <left/>
      <right style="medium">
        <color auto="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auto="1"/>
      </right>
      <top style="thin">
        <color indexed="64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auto="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auto="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medium">
        <color indexed="64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/>
      <diagonal/>
    </border>
    <border>
      <left style="hair">
        <color theme="0" tint="-0.14996795556505021"/>
      </left>
      <right/>
      <top style="hair">
        <color theme="0" tint="-0.1499679555650502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hair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medium">
        <color indexed="64"/>
      </top>
      <bottom style="medium">
        <color indexed="64"/>
      </bottom>
      <diagonal/>
    </border>
    <border>
      <left style="hair">
        <color theme="0" tint="-0.1499679555650502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medium">
        <color auto="1"/>
      </left>
      <right style="hair">
        <color theme="0" tint="-0.14996795556505021"/>
      </right>
      <top style="hair">
        <color theme="0" tint="-0.14996795556505021"/>
      </top>
      <bottom style="thin">
        <color indexed="64"/>
      </bottom>
      <diagonal/>
    </border>
    <border>
      <left style="medium">
        <color auto="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auto="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auto="1"/>
      </left>
      <right/>
      <top style="hair">
        <color theme="0" tint="-0.14996795556505021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hair">
        <color theme="0" tint="-0.14996795556505021"/>
      </bottom>
      <diagonal/>
    </border>
    <border>
      <left style="medium">
        <color auto="1"/>
      </left>
      <right style="hair">
        <color theme="0" tint="-0.1499679555650502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hair">
        <color theme="0" tint="-0.1499679555650502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hair">
        <color theme="0" tint="-0.14996795556505021"/>
      </right>
      <top style="hair">
        <color theme="0" tint="-0.14996795556505021"/>
      </top>
      <bottom/>
      <diagonal/>
    </border>
    <border>
      <left style="medium">
        <color indexed="64"/>
      </left>
      <right/>
      <top style="medium">
        <color indexed="64"/>
      </top>
      <bottom style="hair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theme="0" tint="-0.1499679555650502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hair">
        <color theme="0" tint="-0.14996795556505021"/>
      </right>
      <top style="medium">
        <color indexed="64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medium">
        <color indexed="64"/>
      </top>
      <bottom style="hair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hair">
        <color theme="0" tint="-0.14996795556505021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hair">
        <color theme="0" tint="-0.14996795556505021"/>
      </bottom>
      <diagonal/>
    </border>
    <border>
      <left style="thin">
        <color theme="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theme="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auto="1"/>
      </left>
      <right/>
      <top style="hair">
        <color theme="0" tint="-0.14996795556505021"/>
      </top>
      <bottom/>
      <diagonal/>
    </border>
    <border>
      <left style="thin">
        <color theme="1"/>
      </left>
      <right style="medium">
        <color indexed="64"/>
      </right>
      <top style="hair">
        <color theme="0" tint="-0.14996795556505021"/>
      </top>
      <bottom/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medium">
        <color auto="1"/>
      </left>
      <right/>
      <top style="thin">
        <color theme="0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hair">
        <color theme="0" tint="-0.14996795556505021"/>
      </right>
      <top style="thin">
        <color indexed="64"/>
      </top>
      <bottom style="hair">
        <color theme="0" tint="-0.14996795556505021"/>
      </bottom>
      <diagonal/>
    </border>
    <border>
      <left style="thick">
        <color rgb="FFC00000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hair">
        <color theme="0" tint="-0.14996795556505021"/>
      </left>
      <right style="hair">
        <color theme="0" tint="-0.14996795556505021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theme="0" tint="-0.14996795556505021"/>
      </top>
      <bottom style="thin">
        <color theme="0" tint="-4.9989318521683403E-2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theme="1"/>
      </left>
      <right/>
      <top style="thin">
        <color auto="1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/>
      <bottom style="thin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hair">
        <color theme="0" tint="-0.14996795556505021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hair">
        <color theme="0" tint="-0.14996795556505021"/>
      </right>
      <top style="hair">
        <color theme="0" tint="-0.14996795556505021"/>
      </top>
      <bottom style="thin">
        <color indexed="64"/>
      </bottom>
      <diagonal/>
    </border>
    <border>
      <left style="thick">
        <color rgb="FFC00000"/>
      </left>
      <right style="hair">
        <color theme="0" tint="-0.14996795556505021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ck">
        <color rgb="FFC00000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rgb="FFC00000"/>
      </left>
      <right/>
      <top/>
      <bottom/>
      <diagonal/>
    </border>
    <border>
      <left style="hair">
        <color theme="0" tint="-0.14996795556505021"/>
      </left>
      <right/>
      <top style="thin">
        <color indexed="64"/>
      </top>
      <bottom style="hair">
        <color theme="0" tint="-0.14996795556505021"/>
      </bottom>
      <diagonal/>
    </border>
    <border>
      <left style="hair">
        <color theme="0" tint="-0.14996795556505021"/>
      </left>
      <right/>
      <top style="thin">
        <color indexed="64"/>
      </top>
      <bottom/>
      <diagonal/>
    </border>
    <border>
      <left style="thick">
        <color rgb="FFC00000"/>
      </left>
      <right style="hair">
        <color theme="0" tint="-0.14996795556505021"/>
      </right>
      <top style="thin">
        <color indexed="64"/>
      </top>
      <bottom/>
      <diagonal/>
    </border>
    <border>
      <left style="thick">
        <color rgb="FFC00000"/>
      </left>
      <right/>
      <top/>
      <bottom style="thin">
        <color indexed="64"/>
      </bottom>
      <diagonal/>
    </border>
    <border>
      <left/>
      <right style="thin">
        <color theme="0" tint="-4.9989318521683403E-2"/>
      </right>
      <top style="thin">
        <color theme="0"/>
      </top>
      <bottom/>
      <diagonal/>
    </border>
    <border>
      <left/>
      <right style="thin">
        <color theme="0" tint="-4.9989318521683403E-2"/>
      </right>
      <top/>
      <bottom style="thin">
        <color indexed="64"/>
      </bottom>
      <diagonal/>
    </border>
    <border>
      <left style="thick">
        <color rgb="FFC0000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ck">
        <color rgb="FFC00000"/>
      </left>
      <right/>
      <top style="thin">
        <color theme="0"/>
      </top>
      <bottom/>
      <diagonal/>
    </border>
    <border>
      <left/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ck">
        <color rgb="FFC00000"/>
      </left>
      <right style="thin">
        <color theme="0" tint="-4.9989318521683403E-2"/>
      </right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theme="0" tint="-4.9989318521683403E-2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theme="0"/>
      </left>
      <right style="hair">
        <color theme="0" tint="-0.14996795556505021"/>
      </right>
      <top style="medium">
        <color indexed="64"/>
      </top>
      <bottom style="thin">
        <color indexed="64"/>
      </bottom>
      <diagonal/>
    </border>
    <border>
      <left style="thick">
        <color rgb="FFC00000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thin">
        <color theme="0" tint="-4.9989318521683403E-2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ck">
        <color rgb="FFC00000"/>
      </right>
      <top style="medium">
        <color indexed="64"/>
      </top>
      <bottom/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medium">
        <color rgb="FF000000"/>
      </top>
      <bottom style="thin">
        <color indexed="64"/>
      </bottom>
      <diagonal/>
    </border>
    <border>
      <left style="hair">
        <color theme="0" tint="-0.14996795556505021"/>
      </left>
      <right/>
      <top style="medium">
        <color rgb="FF000000"/>
      </top>
      <bottom style="thin">
        <color indexed="64"/>
      </bottom>
      <diagonal/>
    </border>
    <border>
      <left style="thick">
        <color rgb="FFC00000"/>
      </left>
      <right style="hair">
        <color theme="0" tint="-0.14996795556505021"/>
      </right>
      <top style="medium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hair">
        <color theme="0" tint="-0.14996795556505021"/>
      </bottom>
      <diagonal/>
    </border>
    <border>
      <left style="hair">
        <color theme="0" tint="-0.14996795556505021"/>
      </left>
      <right/>
      <top style="medium">
        <color indexed="64"/>
      </top>
      <bottom style="hair">
        <color theme="0" tint="-0.14996795556505021"/>
      </bottom>
      <diagonal/>
    </border>
    <border>
      <left style="hair">
        <color theme="0" tint="-0.14996795556505021"/>
      </left>
      <right/>
      <top style="hair">
        <color theme="0" tint="-0.14996795556505021"/>
      </top>
      <bottom style="thin">
        <color indexed="64"/>
      </bottom>
      <diagonal/>
    </border>
    <border>
      <left style="thick">
        <color rgb="FFC00000"/>
      </left>
      <right style="hair">
        <color theme="0" tint="-0.14996795556505021"/>
      </right>
      <top style="medium">
        <color indexed="64"/>
      </top>
      <bottom style="hair">
        <color theme="0" tint="-0.14996795556505021"/>
      </bottom>
      <diagonal/>
    </border>
    <border>
      <left style="thick">
        <color rgb="FFC00000"/>
      </left>
      <right style="hair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 style="hair">
        <color theme="0" tint="-0.14996795556505021"/>
      </top>
      <bottom/>
      <diagonal/>
    </border>
    <border>
      <left style="hair">
        <color theme="0" tint="-0.14996795556505021"/>
      </left>
      <right style="thick">
        <color rgb="FFC00000"/>
      </right>
      <top style="hair">
        <color theme="0" tint="-0.14996795556505021"/>
      </top>
      <bottom style="thin">
        <color indexed="64"/>
      </bottom>
      <diagonal/>
    </border>
    <border>
      <left style="hair">
        <color theme="0" tint="-0.14996795556505021"/>
      </left>
      <right style="thick">
        <color rgb="FFC00000"/>
      </right>
      <top style="thin">
        <color indexed="64"/>
      </top>
      <bottom style="hair">
        <color theme="0" tint="-0.14996795556505021"/>
      </bottom>
      <diagonal/>
    </border>
    <border>
      <left style="hair">
        <color theme="0" tint="-0.14996795556505021"/>
      </left>
      <right style="thick">
        <color rgb="FFC00000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hair">
        <color theme="0" tint="-0.14996795556505021"/>
      </left>
      <right style="thick">
        <color rgb="FFC00000"/>
      </right>
      <top/>
      <bottom style="hair">
        <color theme="0" tint="-0.14996795556505021"/>
      </bottom>
      <diagonal/>
    </border>
    <border>
      <left/>
      <right style="hair">
        <color theme="0" tint="-0.14996795556505021"/>
      </right>
      <top style="medium">
        <color indexed="64"/>
      </top>
      <bottom style="hair">
        <color theme="0" tint="-0.14996795556505021"/>
      </bottom>
      <diagonal/>
    </border>
    <border>
      <left/>
      <right style="hair">
        <color theme="0" tint="-0.14996795556505021"/>
      </right>
      <top style="hair">
        <color theme="0" tint="-0.14996795556505021"/>
      </top>
      <bottom style="thin">
        <color indexed="64"/>
      </bottom>
      <diagonal/>
    </border>
    <border>
      <left/>
      <right style="hair">
        <color theme="0" tint="-0.14996795556505021"/>
      </right>
      <top style="thin">
        <color indexed="64"/>
      </top>
      <bottom style="hair">
        <color theme="0" tint="-0.14996795556505021"/>
      </bottom>
      <diagonal/>
    </border>
    <border>
      <left/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 style="hair">
        <color theme="0" tint="-0.14996795556505021"/>
      </right>
      <top style="medium">
        <color indexed="64"/>
      </top>
      <bottom style="thin">
        <color indexed="64"/>
      </bottom>
      <diagonal/>
    </border>
    <border>
      <left/>
      <right style="hair">
        <color theme="0" tint="-0.14996795556505021"/>
      </right>
      <top/>
      <bottom style="hair">
        <color theme="0" tint="-0.14996795556505021"/>
      </bottom>
      <diagonal/>
    </border>
    <border>
      <left/>
      <right style="hair">
        <color theme="0" tint="-0.14996795556505021"/>
      </right>
      <top style="medium">
        <color rgb="FF000000"/>
      </top>
      <bottom style="thin">
        <color indexed="64"/>
      </bottom>
      <diagonal/>
    </border>
    <border>
      <left style="thick">
        <color rgb="FFC00000"/>
      </left>
      <right style="hair">
        <color theme="0" tint="-0.14996795556505021"/>
      </right>
      <top style="hair">
        <color theme="0" tint="-0.14996795556505021"/>
      </top>
      <bottom/>
      <diagonal/>
    </border>
    <border>
      <left/>
      <right style="thin">
        <color theme="0" tint="-4.9989318521683403E-2"/>
      </right>
      <top style="hair">
        <color theme="0" tint="-0.14996795556505021"/>
      </top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 style="thick">
        <color rgb="FFC00000"/>
      </right>
      <top/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hair">
        <color theme="0" tint="-0.14996795556505021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 style="thick">
        <color rgb="FFC00000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hair">
        <color theme="0"/>
      </right>
      <top style="medium">
        <color indexed="64"/>
      </top>
      <bottom/>
      <diagonal/>
    </border>
    <border>
      <left style="hair">
        <color theme="0"/>
      </left>
      <right/>
      <top style="medium">
        <color indexed="64"/>
      </top>
      <bottom/>
      <diagonal/>
    </border>
    <border>
      <left style="medium">
        <color indexed="64"/>
      </left>
      <right style="hair">
        <color theme="0"/>
      </right>
      <top/>
      <bottom/>
      <diagonal/>
    </border>
    <border>
      <left style="hair">
        <color theme="0"/>
      </left>
      <right/>
      <top/>
      <bottom/>
      <diagonal/>
    </border>
    <border>
      <left style="medium">
        <color indexed="64"/>
      </left>
      <right style="hair">
        <color theme="0"/>
      </right>
      <top/>
      <bottom style="medium">
        <color indexed="64"/>
      </bottom>
      <diagonal/>
    </border>
    <border>
      <left style="hair">
        <color theme="0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theme="0"/>
      </right>
      <top style="medium">
        <color indexed="64"/>
      </top>
      <bottom style="thin">
        <color indexed="64"/>
      </bottom>
      <diagonal/>
    </border>
    <border>
      <left style="hair">
        <color theme="0"/>
      </left>
      <right/>
      <top style="medium">
        <color indexed="64"/>
      </top>
      <bottom style="thin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 style="hair">
        <color theme="0" tint="-0.14996795556505021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hair">
        <color theme="0" tint="-0.14996795556505021"/>
      </bottom>
      <diagonal/>
    </border>
    <border>
      <left/>
      <right style="hair">
        <color theme="0"/>
      </right>
      <top/>
      <bottom/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theme="0"/>
      </right>
      <top/>
      <bottom style="thin">
        <color indexed="64"/>
      </bottom>
      <diagonal/>
    </border>
    <border>
      <left style="hair">
        <color theme="0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/>
      <diagonal/>
    </border>
    <border>
      <left style="medium">
        <color indexed="64"/>
      </left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/>
      <top style="medium">
        <color indexed="64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rgb="FFC00000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ck">
        <color rgb="FFC0000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ck">
        <color rgb="FFC00000"/>
      </left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theme="0" tint="-0.14996795556505021"/>
      </bottom>
      <diagonal/>
    </border>
    <border>
      <left style="thin">
        <color indexed="64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indexed="64"/>
      </left>
      <right/>
      <top style="hair">
        <color theme="0" tint="-0.14996795556505021"/>
      </top>
      <bottom style="thin">
        <color theme="0" tint="-4.9989318521683403E-2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theme="0" tint="-0.14996795556505021"/>
      </right>
      <top/>
      <bottom/>
      <diagonal/>
    </border>
    <border>
      <left style="medium">
        <color auto="1"/>
      </left>
      <right style="hair">
        <color theme="0" tint="-0.14996795556505021"/>
      </right>
      <top style="thin">
        <color indexed="64"/>
      </top>
      <bottom style="hair">
        <color theme="0" tint="-0.14996795556505021"/>
      </bottom>
      <diagonal/>
    </border>
    <border>
      <left style="thick">
        <color rgb="FFC00000"/>
      </left>
      <right style="hair">
        <color theme="0" tint="-0.14996795556505021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 style="thin">
        <color theme="0"/>
      </right>
      <top/>
      <bottom style="thin">
        <color indexed="64"/>
      </bottom>
      <diagonal/>
    </border>
    <border>
      <left style="thick">
        <color rgb="FFC0000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theme="0" tint="-0.14996795556505021"/>
      </left>
      <right/>
      <top style="hair">
        <color theme="0" tint="-0.14996795556505021"/>
      </top>
      <bottom style="medium">
        <color indexed="64"/>
      </bottom>
      <diagonal/>
    </border>
    <border>
      <left/>
      <right style="hair">
        <color theme="0" tint="-0.14996795556505021"/>
      </right>
      <top/>
      <bottom style="thin">
        <color indexed="64"/>
      </bottom>
      <diagonal/>
    </border>
    <border>
      <left style="thick">
        <color rgb="FFC00000"/>
      </left>
      <right style="hair">
        <color theme="0" tint="-0.14996795556505021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hair">
        <color theme="0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theme="0" tint="-0.14996795556505021"/>
      </top>
      <bottom style="thin">
        <color indexed="64"/>
      </bottom>
      <diagonal/>
    </border>
    <border>
      <left style="hair">
        <color theme="0" tint="-0.14996795556505021"/>
      </left>
      <right/>
      <top style="medium">
        <color rgb="FF000000"/>
      </top>
      <bottom/>
      <diagonal/>
    </border>
    <border>
      <left/>
      <right style="hair">
        <color theme="0" tint="-0.14996795556505021"/>
      </right>
      <top style="medium">
        <color rgb="FF000000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 style="medium">
        <color rgb="FF000000"/>
      </top>
      <bottom/>
      <diagonal/>
    </border>
    <border>
      <left style="thick">
        <color rgb="FFC00000"/>
      </left>
      <right style="hair">
        <color theme="0" tint="-0.14996795556505021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ck">
        <color rgb="FFC00000"/>
      </left>
      <right/>
      <top style="medium">
        <color rgb="FF000000"/>
      </top>
      <bottom/>
      <diagonal/>
    </border>
    <border>
      <left style="hair">
        <color theme="0" tint="-0.14996795556505021"/>
      </left>
      <right/>
      <top/>
      <bottom style="medium">
        <color indexed="64"/>
      </bottom>
      <diagonal/>
    </border>
    <border>
      <left style="thick">
        <color rgb="FFC00000"/>
      </left>
      <right style="hair">
        <color theme="0" tint="-0.14996795556505021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hair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medium">
        <color rgb="FF000000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thin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auto="1"/>
      </left>
      <right style="hair">
        <color theme="0" tint="-0.14996795556505021"/>
      </right>
      <top style="hair">
        <color theme="0" tint="-0.14996795556505021"/>
      </top>
      <bottom style="thin">
        <color auto="1"/>
      </bottom>
      <diagonal/>
    </border>
    <border>
      <left style="hair">
        <color theme="0" tint="-0.14996795556505021"/>
      </left>
      <right style="thin">
        <color indexed="64"/>
      </right>
      <top style="hair">
        <color theme="0" tint="-0.1499679555650502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thin">
        <color indexed="64"/>
      </right>
      <top/>
      <bottom style="hair">
        <color theme="0" tint="-0.14996795556505021"/>
      </bottom>
      <diagonal/>
    </border>
    <border>
      <left style="thin">
        <color indexed="64"/>
      </left>
      <right style="hair">
        <color theme="0" tint="-0.1499679555650502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/>
      <diagonal/>
    </border>
    <border>
      <left style="thin">
        <color auto="1"/>
      </left>
      <right style="hair">
        <color theme="0" tint="-0.14996795556505021"/>
      </right>
      <top style="hair">
        <color theme="0" tint="-0.14996795556505021"/>
      </top>
      <bottom/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0">
    <xf numFmtId="0" fontId="0" fillId="0" borderId="0" xfId="0"/>
    <xf numFmtId="0" fontId="2" fillId="0" borderId="0" xfId="0" applyFont="1"/>
    <xf numFmtId="0" fontId="3" fillId="0" borderId="0" xfId="0" applyFont="1" applyAlignment="1">
      <alignment shrinkToFit="1"/>
    </xf>
    <xf numFmtId="44" fontId="3" fillId="0" borderId="0" xfId="1" applyFont="1" applyAlignment="1">
      <alignment shrinkToFit="1"/>
    </xf>
    <xf numFmtId="0" fontId="3" fillId="0" borderId="0" xfId="0" applyFont="1"/>
    <xf numFmtId="0" fontId="8" fillId="0" borderId="0" xfId="0" applyFont="1" applyAlignment="1">
      <alignment shrinkToFit="1"/>
    </xf>
    <xf numFmtId="44" fontId="8" fillId="0" borderId="5" xfId="1" applyFont="1" applyFill="1" applyBorder="1" applyAlignment="1">
      <alignment shrinkToFit="1"/>
    </xf>
    <xf numFmtId="44" fontId="8" fillId="7" borderId="5" xfId="1" applyFont="1" applyFill="1" applyBorder="1" applyAlignment="1">
      <alignment shrinkToFit="1"/>
    </xf>
    <xf numFmtId="44" fontId="8" fillId="0" borderId="7" xfId="1" applyFont="1" applyFill="1" applyBorder="1" applyAlignment="1">
      <alignment shrinkToFit="1"/>
    </xf>
    <xf numFmtId="44" fontId="6" fillId="3" borderId="6" xfId="0" quotePrefix="1" applyNumberFormat="1" applyFont="1" applyFill="1" applyBorder="1" applyAlignment="1">
      <alignment horizontal="right" shrinkToFit="1"/>
    </xf>
    <xf numFmtId="44" fontId="6" fillId="3" borderId="20" xfId="0" quotePrefix="1" applyNumberFormat="1" applyFont="1" applyFill="1" applyBorder="1" applyAlignment="1">
      <alignment horizontal="right" shrinkToFit="1"/>
    </xf>
    <xf numFmtId="44" fontId="8" fillId="0" borderId="25" xfId="1" applyFont="1" applyFill="1" applyBorder="1" applyAlignment="1">
      <alignment shrinkToFit="1"/>
    </xf>
    <xf numFmtId="44" fontId="9" fillId="7" borderId="7" xfId="1" applyFont="1" applyFill="1" applyBorder="1" applyAlignment="1">
      <alignment shrinkToFit="1"/>
    </xf>
    <xf numFmtId="44" fontId="8" fillId="7" borderId="8" xfId="1" applyFont="1" applyFill="1" applyBorder="1" applyAlignment="1">
      <alignment shrinkToFit="1"/>
    </xf>
    <xf numFmtId="0" fontId="10" fillId="0" borderId="0" xfId="0" applyFont="1" applyAlignment="1">
      <alignment shrinkToFit="1"/>
    </xf>
    <xf numFmtId="0" fontId="9" fillId="0" borderId="33" xfId="0" applyFont="1" applyBorder="1" applyAlignment="1">
      <alignment horizontal="right"/>
    </xf>
    <xf numFmtId="0" fontId="9" fillId="0" borderId="34" xfId="0" applyFont="1" applyBorder="1" applyAlignment="1">
      <alignment horizontal="right"/>
    </xf>
    <xf numFmtId="0" fontId="9" fillId="7" borderId="32" xfId="0" applyFont="1" applyFill="1" applyBorder="1" applyAlignment="1">
      <alignment horizontal="right" shrinkToFit="1"/>
    </xf>
    <xf numFmtId="0" fontId="9" fillId="0" borderId="33" xfId="0" applyFont="1" applyBorder="1" applyAlignment="1">
      <alignment horizontal="right" shrinkToFit="1"/>
    </xf>
    <xf numFmtId="44" fontId="6" fillId="3" borderId="44" xfId="0" quotePrefix="1" applyNumberFormat="1" applyFont="1" applyFill="1" applyBorder="1" applyAlignment="1">
      <alignment horizontal="right" shrinkToFit="1"/>
    </xf>
    <xf numFmtId="0" fontId="5" fillId="3" borderId="52" xfId="0" applyFont="1" applyFill="1" applyBorder="1"/>
    <xf numFmtId="44" fontId="5" fillId="3" borderId="53" xfId="1" applyFont="1" applyFill="1" applyBorder="1" applyAlignment="1">
      <alignment horizontal="right" shrinkToFit="1"/>
    </xf>
    <xf numFmtId="0" fontId="5" fillId="3" borderId="60" xfId="0" quotePrefix="1" applyFont="1" applyFill="1" applyBorder="1" applyAlignment="1">
      <alignment horizontal="center" shrinkToFit="1"/>
    </xf>
    <xf numFmtId="0" fontId="5" fillId="3" borderId="28" xfId="0" quotePrefix="1" applyFont="1" applyFill="1" applyBorder="1" applyAlignment="1">
      <alignment horizontal="center" shrinkToFit="1"/>
    </xf>
    <xf numFmtId="0" fontId="5" fillId="3" borderId="28" xfId="0" applyFont="1" applyFill="1" applyBorder="1" applyAlignment="1">
      <alignment horizontal="center" shrinkToFit="1"/>
    </xf>
    <xf numFmtId="0" fontId="5" fillId="3" borderId="61" xfId="0" applyFont="1" applyFill="1" applyBorder="1" applyAlignment="1">
      <alignment horizontal="center" shrinkToFit="1"/>
    </xf>
    <xf numFmtId="0" fontId="5" fillId="3" borderId="60" xfId="0" applyFont="1" applyFill="1" applyBorder="1" applyAlignment="1">
      <alignment horizontal="center" shrinkToFit="1"/>
    </xf>
    <xf numFmtId="44" fontId="8" fillId="0" borderId="24" xfId="1" applyFont="1" applyFill="1" applyBorder="1" applyAlignment="1">
      <alignment shrinkToFit="1"/>
    </xf>
    <xf numFmtId="44" fontId="9" fillId="7" borderId="25" xfId="1" applyFont="1" applyFill="1" applyBorder="1" applyAlignment="1">
      <alignment shrinkToFit="1"/>
    </xf>
    <xf numFmtId="8" fontId="5" fillId="3" borderId="65" xfId="1" applyNumberFormat="1" applyFont="1" applyFill="1" applyBorder="1" applyAlignment="1">
      <alignment shrinkToFit="1"/>
    </xf>
    <xf numFmtId="0" fontId="9" fillId="7" borderId="66" xfId="0" applyFont="1" applyFill="1" applyBorder="1" applyAlignment="1">
      <alignment horizontal="right"/>
    </xf>
    <xf numFmtId="44" fontId="3" fillId="0" borderId="0" xfId="1" applyFont="1" applyBorder="1" applyAlignment="1">
      <alignment shrinkToFit="1"/>
    </xf>
    <xf numFmtId="44" fontId="8" fillId="9" borderId="5" xfId="1" applyFont="1" applyFill="1" applyBorder="1" applyAlignment="1">
      <alignment horizontal="center" shrinkToFit="1"/>
    </xf>
    <xf numFmtId="44" fontId="8" fillId="7" borderId="74" xfId="1" applyFont="1" applyFill="1" applyBorder="1" applyAlignment="1">
      <alignment shrinkToFit="1"/>
    </xf>
    <xf numFmtId="44" fontId="8" fillId="7" borderId="73" xfId="1" applyFont="1" applyFill="1" applyBorder="1" applyAlignment="1">
      <alignment shrinkToFit="1"/>
    </xf>
    <xf numFmtId="0" fontId="13" fillId="6" borderId="54" xfId="0" applyFont="1" applyFill="1" applyBorder="1" applyAlignment="1">
      <alignment horizontal="right"/>
    </xf>
    <xf numFmtId="0" fontId="13" fillId="6" borderId="42" xfId="0" applyFont="1" applyFill="1" applyBorder="1" applyAlignment="1">
      <alignment horizontal="right"/>
    </xf>
    <xf numFmtId="0" fontId="13" fillId="6" borderId="41" xfId="0" applyFont="1" applyFill="1" applyBorder="1" applyAlignment="1">
      <alignment horizontal="right"/>
    </xf>
    <xf numFmtId="44" fontId="8" fillId="0" borderId="81" xfId="1" applyFont="1" applyFill="1" applyBorder="1" applyAlignment="1">
      <alignment shrinkToFit="1"/>
    </xf>
    <xf numFmtId="44" fontId="8" fillId="2" borderId="80" xfId="1" applyFont="1" applyFill="1" applyBorder="1" applyAlignment="1">
      <alignment shrinkToFit="1"/>
    </xf>
    <xf numFmtId="44" fontId="8" fillId="2" borderId="75" xfId="1" applyFont="1" applyFill="1" applyBorder="1" applyAlignment="1">
      <alignment shrinkToFit="1"/>
    </xf>
    <xf numFmtId="44" fontId="8" fillId="2" borderId="59" xfId="1" applyFont="1" applyFill="1" applyBorder="1" applyAlignment="1">
      <alignment shrinkToFit="1"/>
    </xf>
    <xf numFmtId="44" fontId="8" fillId="2" borderId="4" xfId="1" applyFont="1" applyFill="1" applyBorder="1" applyAlignment="1">
      <alignment shrinkToFit="1"/>
    </xf>
    <xf numFmtId="44" fontId="8" fillId="2" borderId="42" xfId="1" applyFont="1" applyFill="1" applyBorder="1" applyAlignment="1">
      <alignment shrinkToFit="1"/>
    </xf>
    <xf numFmtId="44" fontId="8" fillId="2" borderId="0" xfId="1" applyFont="1" applyFill="1" applyBorder="1" applyAlignment="1">
      <alignment shrinkToFit="1"/>
    </xf>
    <xf numFmtId="0" fontId="15" fillId="0" borderId="0" xfId="0" applyFont="1" applyAlignment="1">
      <alignment shrinkToFit="1"/>
    </xf>
    <xf numFmtId="44" fontId="8" fillId="0" borderId="90" xfId="1" applyFont="1" applyFill="1" applyBorder="1" applyAlignment="1">
      <alignment shrinkToFit="1"/>
    </xf>
    <xf numFmtId="44" fontId="8" fillId="0" borderId="91" xfId="1" applyFont="1" applyFill="1" applyBorder="1" applyAlignment="1">
      <alignment shrinkToFit="1"/>
    </xf>
    <xf numFmtId="44" fontId="8" fillId="7" borderId="92" xfId="1" applyFont="1" applyFill="1" applyBorder="1" applyAlignment="1">
      <alignment shrinkToFit="1"/>
    </xf>
    <xf numFmtId="0" fontId="9" fillId="0" borderId="93" xfId="0" applyFont="1" applyBorder="1" applyAlignment="1">
      <alignment horizontal="right" shrinkToFit="1"/>
    </xf>
    <xf numFmtId="0" fontId="9" fillId="0" borderId="46" xfId="0" applyFont="1" applyBorder="1" applyAlignment="1">
      <alignment horizontal="right"/>
    </xf>
    <xf numFmtId="44" fontId="6" fillId="6" borderId="17" xfId="1" applyFont="1" applyFill="1" applyBorder="1" applyAlignment="1">
      <alignment shrinkToFit="1"/>
    </xf>
    <xf numFmtId="44" fontId="6" fillId="6" borderId="21" xfId="1" applyFont="1" applyFill="1" applyBorder="1" applyAlignment="1">
      <alignment shrinkToFit="1"/>
    </xf>
    <xf numFmtId="44" fontId="6" fillId="6" borderId="88" xfId="1" applyFont="1" applyFill="1" applyBorder="1" applyAlignment="1">
      <alignment shrinkToFit="1"/>
    </xf>
    <xf numFmtId="44" fontId="14" fillId="2" borderId="4" xfId="1" applyFont="1" applyFill="1" applyBorder="1" applyAlignment="1">
      <alignment vertical="center" wrapText="1" shrinkToFit="1"/>
    </xf>
    <xf numFmtId="44" fontId="14" fillId="2" borderId="0" xfId="1" applyFont="1" applyFill="1" applyBorder="1" applyAlignment="1">
      <alignment vertical="center" wrapText="1" shrinkToFit="1"/>
    </xf>
    <xf numFmtId="44" fontId="6" fillId="6" borderId="49" xfId="1" applyFont="1" applyFill="1" applyBorder="1" applyAlignment="1">
      <alignment shrinkToFit="1"/>
    </xf>
    <xf numFmtId="44" fontId="6" fillId="6" borderId="38" xfId="1" applyFont="1" applyFill="1" applyBorder="1" applyAlignment="1">
      <alignment shrinkToFit="1"/>
    </xf>
    <xf numFmtId="44" fontId="6" fillId="6" borderId="39" xfId="1" applyFont="1" applyFill="1" applyBorder="1" applyAlignment="1">
      <alignment shrinkToFit="1"/>
    </xf>
    <xf numFmtId="44" fontId="8" fillId="7" borderId="87" xfId="1" applyFont="1" applyFill="1" applyBorder="1" applyAlignment="1">
      <alignment shrinkToFit="1"/>
    </xf>
    <xf numFmtId="44" fontId="6" fillId="6" borderId="86" xfId="1" applyFont="1" applyFill="1" applyBorder="1" applyAlignment="1">
      <alignment shrinkToFit="1"/>
    </xf>
    <xf numFmtId="44" fontId="6" fillId="6" borderId="16" xfId="1" applyFont="1" applyFill="1" applyBorder="1" applyAlignment="1">
      <alignment shrinkToFit="1"/>
    </xf>
    <xf numFmtId="44" fontId="6" fillId="6" borderId="62" xfId="1" applyFont="1" applyFill="1" applyBorder="1" applyAlignment="1">
      <alignment shrinkToFit="1"/>
    </xf>
    <xf numFmtId="44" fontId="6" fillId="6" borderId="50" xfId="1" applyFont="1" applyFill="1" applyBorder="1" applyAlignment="1">
      <alignment shrinkToFit="1"/>
    </xf>
    <xf numFmtId="44" fontId="6" fillId="6" borderId="13" xfId="1" applyFont="1" applyFill="1" applyBorder="1" applyAlignment="1">
      <alignment shrinkToFit="1"/>
    </xf>
    <xf numFmtId="44" fontId="6" fillId="6" borderId="27" xfId="1" applyFont="1" applyFill="1" applyBorder="1" applyAlignment="1">
      <alignment shrinkToFit="1"/>
    </xf>
    <xf numFmtId="0" fontId="13" fillId="6" borderId="63" xfId="0" applyFont="1" applyFill="1" applyBorder="1" applyAlignment="1">
      <alignment horizontal="right"/>
    </xf>
    <xf numFmtId="44" fontId="6" fillId="6" borderId="14" xfId="1" applyFont="1" applyFill="1" applyBorder="1" applyAlignment="1">
      <alignment shrinkToFit="1"/>
    </xf>
    <xf numFmtId="165" fontId="13" fillId="10" borderId="37" xfId="0" applyNumberFormat="1" applyFont="1" applyFill="1" applyBorder="1" applyAlignment="1">
      <alignment horizontal="center"/>
    </xf>
    <xf numFmtId="165" fontId="13" fillId="10" borderId="35" xfId="0" applyNumberFormat="1" applyFont="1" applyFill="1" applyBorder="1" applyAlignment="1">
      <alignment horizontal="center"/>
    </xf>
    <xf numFmtId="165" fontId="13" fillId="10" borderId="31" xfId="1" applyNumberFormat="1" applyFont="1" applyFill="1" applyBorder="1" applyAlignment="1">
      <alignment horizontal="center"/>
    </xf>
    <xf numFmtId="165" fontId="13" fillId="10" borderId="40" xfId="0" applyNumberFormat="1" applyFont="1" applyFill="1" applyBorder="1" applyAlignment="1">
      <alignment horizontal="center"/>
    </xf>
    <xf numFmtId="0" fontId="17" fillId="7" borderId="68" xfId="0" applyFont="1" applyFill="1" applyBorder="1" applyAlignment="1">
      <alignment horizontal="right" shrinkToFit="1"/>
    </xf>
    <xf numFmtId="0" fontId="17" fillId="0" borderId="67" xfId="0" applyFont="1" applyBorder="1" applyAlignment="1">
      <alignment horizontal="right" shrinkToFit="1"/>
    </xf>
    <xf numFmtId="0" fontId="17" fillId="0" borderId="70" xfId="0" applyFont="1" applyBorder="1" applyAlignment="1">
      <alignment horizontal="right" shrinkToFit="1"/>
    </xf>
    <xf numFmtId="44" fontId="17" fillId="7" borderId="43" xfId="1" applyFont="1" applyFill="1" applyBorder="1" applyAlignment="1">
      <alignment shrinkToFit="1"/>
    </xf>
    <xf numFmtId="44" fontId="17" fillId="7" borderId="8" xfId="1" applyFont="1" applyFill="1" applyBorder="1" applyAlignment="1">
      <alignment shrinkToFit="1"/>
    </xf>
    <xf numFmtId="44" fontId="17" fillId="7" borderId="9" xfId="1" applyFont="1" applyFill="1" applyBorder="1" applyAlignment="1">
      <alignment shrinkToFit="1"/>
    </xf>
    <xf numFmtId="44" fontId="18" fillId="0" borderId="45" xfId="1" applyFont="1" applyFill="1" applyBorder="1" applyAlignment="1">
      <alignment shrinkToFit="1"/>
    </xf>
    <xf numFmtId="44" fontId="18" fillId="0" borderId="7" xfId="1" applyFont="1" applyFill="1" applyBorder="1" applyAlignment="1">
      <alignment shrinkToFit="1"/>
    </xf>
    <xf numFmtId="44" fontId="18" fillId="0" borderId="12" xfId="1" applyFont="1" applyFill="1" applyBorder="1" applyAlignment="1">
      <alignment shrinkToFit="1"/>
    </xf>
    <xf numFmtId="44" fontId="18" fillId="0" borderId="51" xfId="1" applyFont="1" applyFill="1" applyBorder="1" applyAlignment="1">
      <alignment shrinkToFit="1"/>
    </xf>
    <xf numFmtId="44" fontId="18" fillId="0" borderId="29" xfId="1" applyFont="1" applyFill="1" applyBorder="1" applyAlignment="1">
      <alignment shrinkToFit="1"/>
    </xf>
    <xf numFmtId="44" fontId="18" fillId="0" borderId="30" xfId="1" applyFont="1" applyFill="1" applyBorder="1" applyAlignment="1">
      <alignment shrinkToFit="1"/>
    </xf>
    <xf numFmtId="0" fontId="19" fillId="0" borderId="46" xfId="0" applyFont="1" applyBorder="1" applyAlignment="1">
      <alignment horizontal="right"/>
    </xf>
    <xf numFmtId="0" fontId="9" fillId="0" borderId="69" xfId="0" applyFont="1" applyBorder="1" applyAlignment="1">
      <alignment horizontal="right"/>
    </xf>
    <xf numFmtId="44" fontId="8" fillId="0" borderId="7" xfId="1" applyFont="1" applyFill="1" applyBorder="1" applyAlignment="1">
      <alignment horizontal="right" shrinkToFit="1"/>
    </xf>
    <xf numFmtId="44" fontId="6" fillId="6" borderId="96" xfId="1" applyFont="1" applyFill="1" applyBorder="1" applyAlignment="1">
      <alignment shrinkToFit="1"/>
    </xf>
    <xf numFmtId="44" fontId="8" fillId="7" borderId="24" xfId="1" applyFont="1" applyFill="1" applyBorder="1" applyAlignment="1">
      <alignment shrinkToFit="1"/>
    </xf>
    <xf numFmtId="44" fontId="8" fillId="0" borderId="97" xfId="1" applyFont="1" applyFill="1" applyBorder="1" applyAlignment="1">
      <alignment shrinkToFit="1"/>
    </xf>
    <xf numFmtId="44" fontId="8" fillId="0" borderId="98" xfId="1" applyFont="1" applyFill="1" applyBorder="1" applyAlignment="1">
      <alignment shrinkToFit="1"/>
    </xf>
    <xf numFmtId="44" fontId="8" fillId="7" borderId="99" xfId="1" applyFont="1" applyFill="1" applyBorder="1" applyAlignment="1">
      <alignment shrinkToFit="1"/>
    </xf>
    <xf numFmtId="9" fontId="6" fillId="5" borderId="0" xfId="2" applyFont="1" applyFill="1" applyAlignment="1">
      <alignment shrinkToFit="1"/>
    </xf>
    <xf numFmtId="0" fontId="11" fillId="3" borderId="71" xfId="0" applyFont="1" applyFill="1" applyBorder="1" applyAlignment="1">
      <alignment horizontal="right"/>
    </xf>
    <xf numFmtId="0" fontId="14" fillId="0" borderId="0" xfId="0" applyFont="1"/>
    <xf numFmtId="165" fontId="22" fillId="0" borderId="0" xfId="0" applyNumberFormat="1" applyFont="1" applyAlignment="1">
      <alignment horizontal="right"/>
    </xf>
    <xf numFmtId="44" fontId="22" fillId="0" borderId="0" xfId="1" applyFont="1" applyFill="1" applyBorder="1" applyAlignment="1">
      <alignment shrinkToFit="1"/>
    </xf>
    <xf numFmtId="0" fontId="22" fillId="0" borderId="0" xfId="0" applyFont="1" applyAlignment="1">
      <alignment shrinkToFit="1"/>
    </xf>
    <xf numFmtId="0" fontId="9" fillId="7" borderId="64" xfId="0" applyFont="1" applyFill="1" applyBorder="1" applyAlignment="1">
      <alignment horizontal="right"/>
    </xf>
    <xf numFmtId="44" fontId="8" fillId="7" borderId="102" xfId="1" applyFont="1" applyFill="1" applyBorder="1" applyAlignment="1">
      <alignment shrinkToFit="1"/>
    </xf>
    <xf numFmtId="44" fontId="6" fillId="6" borderId="103" xfId="1" applyFont="1" applyFill="1" applyBorder="1" applyAlignment="1">
      <alignment shrinkToFit="1"/>
    </xf>
    <xf numFmtId="44" fontId="8" fillId="2" borderId="1" xfId="1" applyFont="1" applyFill="1" applyBorder="1" applyAlignment="1">
      <alignment shrinkToFit="1"/>
    </xf>
    <xf numFmtId="44" fontId="14" fillId="2" borderId="1" xfId="1" applyFont="1" applyFill="1" applyBorder="1" applyAlignment="1">
      <alignment vertical="center" wrapText="1" shrinkToFit="1"/>
    </xf>
    <xf numFmtId="44" fontId="8" fillId="7" borderId="112" xfId="1" applyFont="1" applyFill="1" applyBorder="1" applyAlignment="1">
      <alignment shrinkToFit="1"/>
    </xf>
    <xf numFmtId="44" fontId="9" fillId="7" borderId="117" xfId="1" applyFont="1" applyFill="1" applyBorder="1" applyAlignment="1">
      <alignment shrinkToFit="1"/>
    </xf>
    <xf numFmtId="44" fontId="8" fillId="0" borderId="117" xfId="1" applyFont="1" applyFill="1" applyBorder="1" applyAlignment="1">
      <alignment shrinkToFit="1"/>
    </xf>
    <xf numFmtId="44" fontId="8" fillId="0" borderId="118" xfId="1" applyFont="1" applyFill="1" applyBorder="1" applyAlignment="1">
      <alignment shrinkToFit="1"/>
    </xf>
    <xf numFmtId="44" fontId="6" fillId="6" borderId="119" xfId="1" applyFont="1" applyFill="1" applyBorder="1" applyAlignment="1">
      <alignment shrinkToFit="1"/>
    </xf>
    <xf numFmtId="0" fontId="27" fillId="0" borderId="0" xfId="0" applyFont="1" applyAlignment="1">
      <alignment shrinkToFit="1"/>
    </xf>
    <xf numFmtId="0" fontId="28" fillId="11" borderId="42" xfId="0" applyFont="1" applyFill="1" applyBorder="1" applyAlignment="1">
      <alignment horizontal="left"/>
    </xf>
    <xf numFmtId="0" fontId="26" fillId="11" borderId="94" xfId="0" applyFont="1" applyFill="1" applyBorder="1" applyAlignment="1">
      <alignment horizontal="right"/>
    </xf>
    <xf numFmtId="0" fontId="12" fillId="0" borderId="0" xfId="0" applyFont="1" applyAlignment="1">
      <alignment shrinkToFit="1"/>
    </xf>
    <xf numFmtId="44" fontId="8" fillId="2" borderId="113" xfId="1" applyFont="1" applyFill="1" applyBorder="1" applyAlignment="1">
      <alignment shrinkToFit="1"/>
    </xf>
    <xf numFmtId="44" fontId="8" fillId="2" borderId="110" xfId="1" applyFont="1" applyFill="1" applyBorder="1" applyAlignment="1">
      <alignment shrinkToFit="1"/>
    </xf>
    <xf numFmtId="44" fontId="8" fillId="2" borderId="109" xfId="1" applyFont="1" applyFill="1" applyBorder="1" applyAlignment="1">
      <alignment shrinkToFit="1"/>
    </xf>
    <xf numFmtId="44" fontId="8" fillId="2" borderId="111" xfId="1" applyFont="1" applyFill="1" applyBorder="1" applyAlignment="1">
      <alignment shrinkToFit="1"/>
    </xf>
    <xf numFmtId="44" fontId="14" fillId="2" borderId="113" xfId="1" applyFont="1" applyFill="1" applyBorder="1" applyAlignment="1">
      <alignment vertical="center" wrapText="1" shrinkToFit="1"/>
    </xf>
    <xf numFmtId="44" fontId="14" fillId="2" borderId="75" xfId="1" applyFont="1" applyFill="1" applyBorder="1" applyAlignment="1">
      <alignment vertical="center" wrapText="1" shrinkToFit="1"/>
    </xf>
    <xf numFmtId="44" fontId="14" fillId="2" borderId="109" xfId="1" applyFont="1" applyFill="1" applyBorder="1" applyAlignment="1">
      <alignment vertical="center" wrapText="1" shrinkToFit="1"/>
    </xf>
    <xf numFmtId="44" fontId="8" fillId="7" borderId="122" xfId="1" applyFont="1" applyFill="1" applyBorder="1" applyAlignment="1">
      <alignment shrinkToFit="1"/>
    </xf>
    <xf numFmtId="44" fontId="8" fillId="0" borderId="75" xfId="1" applyFont="1" applyFill="1" applyBorder="1" applyAlignment="1">
      <alignment shrinkToFit="1"/>
    </xf>
    <xf numFmtId="44" fontId="8" fillId="0" borderId="123" xfId="1" applyFont="1" applyFill="1" applyBorder="1" applyAlignment="1">
      <alignment shrinkToFit="1"/>
    </xf>
    <xf numFmtId="44" fontId="8" fillId="2" borderId="77" xfId="1" applyFont="1" applyFill="1" applyBorder="1" applyAlignment="1">
      <alignment shrinkToFit="1"/>
    </xf>
    <xf numFmtId="44" fontId="14" fillId="2" borderId="76" xfId="1" applyFont="1" applyFill="1" applyBorder="1" applyAlignment="1">
      <alignment vertical="center" wrapText="1" shrinkToFit="1"/>
    </xf>
    <xf numFmtId="44" fontId="14" fillId="2" borderId="77" xfId="1" applyFont="1" applyFill="1" applyBorder="1" applyAlignment="1">
      <alignment vertical="center" wrapText="1" shrinkToFit="1"/>
    </xf>
    <xf numFmtId="44" fontId="14" fillId="2" borderId="79" xfId="1" applyFont="1" applyFill="1" applyBorder="1" applyAlignment="1">
      <alignment vertical="center" wrapText="1" shrinkToFit="1"/>
    </xf>
    <xf numFmtId="44" fontId="8" fillId="2" borderId="114" xfId="1" applyFont="1" applyFill="1" applyBorder="1" applyAlignment="1">
      <alignment shrinkToFit="1"/>
    </xf>
    <xf numFmtId="44" fontId="3" fillId="0" borderId="0" xfId="0" applyNumberFormat="1" applyFont="1" applyAlignment="1">
      <alignment shrinkToFit="1"/>
    </xf>
    <xf numFmtId="44" fontId="4" fillId="0" borderId="0" xfId="0" applyNumberFormat="1" applyFont="1" applyAlignment="1">
      <alignment shrinkToFit="1"/>
    </xf>
    <xf numFmtId="0" fontId="5" fillId="3" borderId="132" xfId="0" applyFont="1" applyFill="1" applyBorder="1" applyAlignment="1">
      <alignment horizontal="center" shrinkToFit="1"/>
    </xf>
    <xf numFmtId="0" fontId="5" fillId="3" borderId="134" xfId="0" applyFont="1" applyFill="1" applyBorder="1" applyAlignment="1">
      <alignment horizontal="center" shrinkToFit="1"/>
    </xf>
    <xf numFmtId="0" fontId="5" fillId="3" borderId="142" xfId="0" applyFont="1" applyFill="1" applyBorder="1" applyAlignment="1">
      <alignment horizontal="center" shrinkToFit="1"/>
    </xf>
    <xf numFmtId="44" fontId="8" fillId="0" borderId="85" xfId="1" applyFont="1" applyFill="1" applyBorder="1" applyAlignment="1">
      <alignment horizontal="center" shrinkToFit="1"/>
    </xf>
    <xf numFmtId="44" fontId="8" fillId="0" borderId="149" xfId="1" applyFont="1" applyFill="1" applyBorder="1" applyAlignment="1">
      <alignment horizontal="center" shrinkToFit="1"/>
    </xf>
    <xf numFmtId="44" fontId="17" fillId="7" borderId="8" xfId="1" applyFont="1" applyFill="1" applyBorder="1" applyAlignment="1">
      <alignment horizontal="center" shrinkToFit="1"/>
    </xf>
    <xf numFmtId="44" fontId="17" fillId="7" borderId="9" xfId="1" applyFont="1" applyFill="1" applyBorder="1" applyAlignment="1">
      <alignment horizontal="center" shrinkToFit="1"/>
    </xf>
    <xf numFmtId="44" fontId="18" fillId="0" borderId="7" xfId="1" applyFont="1" applyFill="1" applyBorder="1" applyAlignment="1">
      <alignment horizontal="center" shrinkToFit="1"/>
    </xf>
    <xf numFmtId="44" fontId="18" fillId="0" borderId="12" xfId="1" applyFont="1" applyFill="1" applyBorder="1" applyAlignment="1">
      <alignment horizontal="center" shrinkToFit="1"/>
    </xf>
    <xf numFmtId="165" fontId="8" fillId="0" borderId="5" xfId="1" applyNumberFormat="1" applyFont="1" applyFill="1" applyBorder="1" applyAlignment="1">
      <alignment horizontal="center" shrinkToFit="1"/>
    </xf>
    <xf numFmtId="165" fontId="8" fillId="0" borderId="7" xfId="1" applyNumberFormat="1" applyFont="1" applyFill="1" applyBorder="1" applyAlignment="1">
      <alignment horizontal="center" shrinkToFit="1"/>
    </xf>
    <xf numFmtId="165" fontId="8" fillId="0" borderId="84" xfId="1" applyNumberFormat="1" applyFont="1" applyFill="1" applyBorder="1" applyAlignment="1">
      <alignment horizontal="center" shrinkToFit="1"/>
    </xf>
    <xf numFmtId="165" fontId="8" fillId="0" borderId="24" xfId="1" applyNumberFormat="1" applyFont="1" applyFill="1" applyBorder="1" applyAlignment="1">
      <alignment horizontal="center" shrinkToFit="1"/>
    </xf>
    <xf numFmtId="165" fontId="8" fillId="0" borderId="85" xfId="1" applyNumberFormat="1" applyFont="1" applyFill="1" applyBorder="1" applyAlignment="1">
      <alignment horizontal="center" shrinkToFit="1"/>
    </xf>
    <xf numFmtId="165" fontId="8" fillId="0" borderId="25" xfId="1" applyNumberFormat="1" applyFont="1" applyFill="1" applyBorder="1" applyAlignment="1">
      <alignment horizontal="center" shrinkToFit="1"/>
    </xf>
    <xf numFmtId="44" fontId="8" fillId="0" borderId="7" xfId="1" applyFont="1" applyFill="1" applyBorder="1" applyAlignment="1">
      <alignment horizontal="center" shrinkToFit="1"/>
    </xf>
    <xf numFmtId="44" fontId="8" fillId="0" borderId="29" xfId="1" applyFont="1" applyFill="1" applyBorder="1" applyAlignment="1">
      <alignment horizontal="center" shrinkToFit="1"/>
    </xf>
    <xf numFmtId="0" fontId="29" fillId="0" borderId="0" xfId="0" applyFont="1" applyAlignment="1">
      <alignment shrinkToFit="1"/>
    </xf>
    <xf numFmtId="44" fontId="3" fillId="0" borderId="0" xfId="1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shrinkToFit="1"/>
    </xf>
    <xf numFmtId="0" fontId="3" fillId="0" borderId="0" xfId="0" applyFont="1" applyAlignment="1">
      <alignment horizontal="left"/>
    </xf>
    <xf numFmtId="44" fontId="3" fillId="0" borderId="0" xfId="0" applyNumberFormat="1" applyFont="1" applyAlignment="1">
      <alignment horizontal="right" shrinkToFit="1"/>
    </xf>
    <xf numFmtId="0" fontId="4" fillId="0" borderId="0" xfId="0" applyFont="1" applyAlignment="1">
      <alignment horizontal="right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26" fillId="11" borderId="71" xfId="1" applyNumberFormat="1" applyFont="1" applyFill="1" applyBorder="1" applyAlignment="1">
      <alignment horizontal="center" vertical="center"/>
    </xf>
    <xf numFmtId="0" fontId="26" fillId="11" borderId="2" xfId="1" applyNumberFormat="1" applyFont="1" applyFill="1" applyBorder="1" applyAlignment="1">
      <alignment horizontal="center" vertical="center"/>
    </xf>
    <xf numFmtId="0" fontId="26" fillId="11" borderId="83" xfId="1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center"/>
    </xf>
    <xf numFmtId="165" fontId="31" fillId="0" borderId="0" xfId="0" applyNumberFormat="1" applyFont="1" applyAlignment="1">
      <alignment horizontal="center"/>
    </xf>
    <xf numFmtId="0" fontId="31" fillId="0" borderId="0" xfId="0" applyFont="1" applyAlignment="1">
      <alignment horizontal="center"/>
    </xf>
    <xf numFmtId="165" fontId="30" fillId="0" borderId="0" xfId="0" applyNumberFormat="1" applyFont="1" applyAlignment="1">
      <alignment horizontal="center"/>
    </xf>
    <xf numFmtId="165" fontId="31" fillId="0" borderId="0" xfId="1" applyNumberFormat="1" applyFont="1" applyAlignment="1">
      <alignment horizontal="center"/>
    </xf>
    <xf numFmtId="44" fontId="8" fillId="0" borderId="136" xfId="1" applyFont="1" applyFill="1" applyBorder="1" applyAlignment="1">
      <alignment shrinkToFit="1"/>
    </xf>
    <xf numFmtId="44" fontId="8" fillId="0" borderId="150" xfId="1" applyFont="1" applyFill="1" applyBorder="1" applyAlignment="1">
      <alignment shrinkToFit="1"/>
    </xf>
    <xf numFmtId="44" fontId="8" fillId="0" borderId="109" xfId="1" applyFont="1" applyFill="1" applyBorder="1" applyAlignment="1">
      <alignment shrinkToFit="1"/>
    </xf>
    <xf numFmtId="44" fontId="8" fillId="0" borderId="111" xfId="1" applyFont="1" applyFill="1" applyBorder="1" applyAlignment="1">
      <alignment shrinkToFit="1"/>
    </xf>
    <xf numFmtId="44" fontId="11" fillId="5" borderId="95" xfId="1" applyFont="1" applyFill="1" applyBorder="1" applyAlignment="1">
      <alignment shrinkToFit="1"/>
    </xf>
    <xf numFmtId="0" fontId="11" fillId="5" borderId="2" xfId="1" applyNumberFormat="1" applyFont="1" applyFill="1" applyBorder="1" applyAlignment="1">
      <alignment horizontal="center" shrinkToFit="1"/>
    </xf>
    <xf numFmtId="0" fontId="11" fillId="3" borderId="2" xfId="1" applyNumberFormat="1" applyFont="1" applyFill="1" applyBorder="1" applyAlignment="1">
      <alignment horizontal="center"/>
    </xf>
    <xf numFmtId="44" fontId="16" fillId="8" borderId="115" xfId="1" applyFont="1" applyFill="1" applyBorder="1" applyAlignment="1">
      <alignment vertical="center" shrinkToFit="1"/>
    </xf>
    <xf numFmtId="44" fontId="16" fillId="8" borderId="116" xfId="1" applyFont="1" applyFill="1" applyBorder="1" applyAlignment="1">
      <alignment vertical="center" shrinkToFit="1"/>
    </xf>
    <xf numFmtId="44" fontId="16" fillId="8" borderId="124" xfId="1" applyFont="1" applyFill="1" applyBorder="1" applyAlignment="1">
      <alignment vertical="center" shrinkToFit="1"/>
    </xf>
    <xf numFmtId="44" fontId="16" fillId="8" borderId="42" xfId="1" applyFont="1" applyFill="1" applyBorder="1" applyAlignment="1">
      <alignment vertical="center" shrinkToFit="1"/>
    </xf>
    <xf numFmtId="44" fontId="16" fillId="8" borderId="0" xfId="1" applyFont="1" applyFill="1" applyBorder="1" applyAlignment="1">
      <alignment vertical="center" shrinkToFit="1"/>
    </xf>
    <xf numFmtId="44" fontId="16" fillId="8" borderId="125" xfId="1" applyFont="1" applyFill="1" applyBorder="1" applyAlignment="1">
      <alignment vertical="center" shrinkToFit="1"/>
    </xf>
    <xf numFmtId="44" fontId="33" fillId="8" borderId="3" xfId="1" applyFont="1" applyFill="1" applyBorder="1" applyAlignment="1">
      <alignment vertical="center" shrinkToFit="1"/>
    </xf>
    <xf numFmtId="0" fontId="25" fillId="11" borderId="10" xfId="1" applyNumberFormat="1" applyFont="1" applyFill="1" applyBorder="1" applyAlignment="1">
      <alignment horizontal="center" shrinkToFit="1"/>
    </xf>
    <xf numFmtId="0" fontId="32" fillId="0" borderId="0" xfId="0" applyFont="1"/>
    <xf numFmtId="0" fontId="34" fillId="0" borderId="0" xfId="0" applyFont="1" applyAlignment="1">
      <alignment horizontal="center"/>
    </xf>
    <xf numFmtId="44" fontId="6" fillId="6" borderId="146" xfId="1" applyFont="1" applyFill="1" applyBorder="1" applyAlignment="1">
      <alignment shrinkToFit="1"/>
    </xf>
    <xf numFmtId="44" fontId="8" fillId="7" borderId="147" xfId="1" applyFont="1" applyFill="1" applyBorder="1" applyAlignment="1">
      <alignment shrinkToFit="1"/>
    </xf>
    <xf numFmtId="44" fontId="33" fillId="8" borderId="126" xfId="1" applyFont="1" applyFill="1" applyBorder="1" applyAlignment="1">
      <alignment vertical="center" shrinkToFit="1"/>
    </xf>
    <xf numFmtId="44" fontId="33" fillId="8" borderId="0" xfId="1" applyFont="1" applyFill="1" applyBorder="1" applyAlignment="1">
      <alignment vertical="center" shrinkToFit="1"/>
    </xf>
    <xf numFmtId="44" fontId="24" fillId="2" borderId="3" xfId="1" applyFont="1" applyFill="1" applyBorder="1" applyAlignment="1">
      <alignment vertical="center" shrinkToFit="1"/>
    </xf>
    <xf numFmtId="44" fontId="33" fillId="8" borderId="116" xfId="1" applyFont="1" applyFill="1" applyBorder="1" applyAlignment="1">
      <alignment vertical="center" shrinkToFit="1"/>
    </xf>
    <xf numFmtId="44" fontId="6" fillId="6" borderId="154" xfId="1" applyFont="1" applyFill="1" applyBorder="1" applyAlignment="1">
      <alignment shrinkToFit="1"/>
    </xf>
    <xf numFmtId="44" fontId="8" fillId="9" borderId="106" xfId="1" applyFont="1" applyFill="1" applyBorder="1" applyAlignment="1">
      <alignment horizontal="center" shrinkToFit="1"/>
    </xf>
    <xf numFmtId="44" fontId="6" fillId="6" borderId="135" xfId="1" applyFont="1" applyFill="1" applyBorder="1" applyAlignment="1">
      <alignment shrinkToFit="1"/>
    </xf>
    <xf numFmtId="44" fontId="8" fillId="9" borderId="84" xfId="1" applyFont="1" applyFill="1" applyBorder="1" applyAlignment="1">
      <alignment horizontal="center" shrinkToFit="1"/>
    </xf>
    <xf numFmtId="44" fontId="24" fillId="2" borderId="155" xfId="1" applyFont="1" applyFill="1" applyBorder="1" applyAlignment="1">
      <alignment vertical="center" shrinkToFit="1"/>
    </xf>
    <xf numFmtId="44" fontId="8" fillId="0" borderId="84" xfId="1" applyFont="1" applyFill="1" applyBorder="1" applyAlignment="1">
      <alignment shrinkToFit="1"/>
    </xf>
    <xf numFmtId="44" fontId="8" fillId="0" borderId="156" xfId="1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0" borderId="3" xfId="0" applyFont="1" applyBorder="1"/>
    <xf numFmtId="44" fontId="35" fillId="12" borderId="157" xfId="1" applyFont="1" applyFill="1" applyBorder="1" applyAlignment="1">
      <alignment vertical="center" shrinkToFit="1"/>
    </xf>
    <xf numFmtId="44" fontId="35" fillId="12" borderId="158" xfId="1" applyFont="1" applyFill="1" applyBorder="1" applyAlignment="1">
      <alignment vertical="center" shrinkToFit="1"/>
    </xf>
    <xf numFmtId="44" fontId="35" fillId="12" borderId="159" xfId="1" applyFont="1" applyFill="1" applyBorder="1" applyAlignment="1">
      <alignment vertical="center" shrinkToFit="1"/>
    </xf>
    <xf numFmtId="44" fontId="35" fillId="12" borderId="160" xfId="1" applyFont="1" applyFill="1" applyBorder="1" applyAlignment="1">
      <alignment vertical="center" shrinkToFit="1"/>
    </xf>
    <xf numFmtId="44" fontId="35" fillId="12" borderId="161" xfId="1" applyFont="1" applyFill="1" applyBorder="1" applyAlignment="1">
      <alignment vertical="center" shrinkToFit="1"/>
    </xf>
    <xf numFmtId="44" fontId="35" fillId="12" borderId="162" xfId="1" applyFont="1" applyFill="1" applyBorder="1" applyAlignment="1">
      <alignment vertical="center" shrinkToFit="1"/>
    </xf>
    <xf numFmtId="44" fontId="35" fillId="12" borderId="163" xfId="1" applyFont="1" applyFill="1" applyBorder="1" applyAlignment="1">
      <alignment shrinkToFit="1"/>
    </xf>
    <xf numFmtId="0" fontId="5" fillId="3" borderId="132" xfId="0" quotePrefix="1" applyFont="1" applyFill="1" applyBorder="1" applyAlignment="1">
      <alignment horizontal="center" shrinkToFit="1"/>
    </xf>
    <xf numFmtId="44" fontId="6" fillId="3" borderId="133" xfId="0" quotePrefix="1" applyNumberFormat="1" applyFont="1" applyFill="1" applyBorder="1" applyAlignment="1">
      <alignment horizontal="right" shrinkToFit="1"/>
    </xf>
    <xf numFmtId="44" fontId="35" fillId="12" borderId="164" xfId="1" applyFont="1" applyFill="1" applyBorder="1" applyAlignment="1">
      <alignment shrinkToFit="1"/>
    </xf>
    <xf numFmtId="44" fontId="6" fillId="3" borderId="100" xfId="0" quotePrefix="1" applyNumberFormat="1" applyFont="1" applyFill="1" applyBorder="1" applyAlignment="1">
      <alignment horizontal="right" shrinkToFit="1"/>
    </xf>
    <xf numFmtId="44" fontId="33" fillId="8" borderId="165" xfId="1" applyFont="1" applyFill="1" applyBorder="1" applyAlignment="1">
      <alignment vertical="center" shrinkToFit="1"/>
    </xf>
    <xf numFmtId="44" fontId="33" fillId="8" borderId="105" xfId="1" applyFont="1" applyFill="1" applyBorder="1" applyAlignment="1">
      <alignment vertical="center" shrinkToFit="1"/>
    </xf>
    <xf numFmtId="44" fontId="33" fillId="8" borderId="155" xfId="1" applyFont="1" applyFill="1" applyBorder="1" applyAlignment="1">
      <alignment vertical="center" shrinkToFit="1"/>
    </xf>
    <xf numFmtId="0" fontId="13" fillId="0" borderId="42" xfId="0" applyFont="1" applyBorder="1" applyAlignment="1">
      <alignment horizontal="right"/>
    </xf>
    <xf numFmtId="0" fontId="7" fillId="0" borderId="0" xfId="0" applyFont="1" applyAlignment="1">
      <alignment shrinkToFit="1"/>
    </xf>
    <xf numFmtId="0" fontId="5" fillId="3" borderId="84" xfId="0" quotePrefix="1" applyFont="1" applyFill="1" applyBorder="1" applyAlignment="1">
      <alignment horizontal="center" shrinkToFit="1"/>
    </xf>
    <xf numFmtId="44" fontId="6" fillId="6" borderId="166" xfId="1" applyFont="1" applyFill="1" applyBorder="1" applyAlignment="1">
      <alignment shrinkToFit="1"/>
    </xf>
    <xf numFmtId="0" fontId="13" fillId="6" borderId="0" xfId="0" applyFont="1" applyFill="1" applyAlignment="1">
      <alignment horizontal="right"/>
    </xf>
    <xf numFmtId="165" fontId="13" fillId="10" borderId="0" xfId="0" applyNumberFormat="1" applyFont="1" applyFill="1" applyAlignment="1">
      <alignment horizontal="center"/>
    </xf>
    <xf numFmtId="44" fontId="6" fillId="6" borderId="167" xfId="1" applyFont="1" applyFill="1" applyBorder="1" applyAlignment="1">
      <alignment shrinkToFit="1"/>
    </xf>
    <xf numFmtId="0" fontId="26" fillId="11" borderId="3" xfId="1" applyNumberFormat="1" applyFont="1" applyFill="1" applyBorder="1" applyAlignment="1">
      <alignment horizontal="center" vertical="center"/>
    </xf>
    <xf numFmtId="44" fontId="14" fillId="2" borderId="121" xfId="1" applyFont="1" applyFill="1" applyBorder="1" applyAlignment="1">
      <alignment vertical="center" shrinkToFit="1"/>
    </xf>
    <xf numFmtId="44" fontId="14" fillId="2" borderId="1" xfId="1" applyFont="1" applyFill="1" applyBorder="1" applyAlignment="1">
      <alignment vertical="center" shrinkToFit="1"/>
    </xf>
    <xf numFmtId="44" fontId="14" fillId="2" borderId="79" xfId="1" applyFont="1" applyFill="1" applyBorder="1" applyAlignment="1">
      <alignment vertical="center" shrinkToFit="1"/>
    </xf>
    <xf numFmtId="44" fontId="8" fillId="0" borderId="81" xfId="1" applyFont="1" applyBorder="1" applyAlignment="1">
      <alignment shrinkToFit="1"/>
    </xf>
    <xf numFmtId="44" fontId="8" fillId="0" borderId="82" xfId="1" applyFont="1" applyBorder="1" applyAlignment="1">
      <alignment shrinkToFit="1"/>
    </xf>
    <xf numFmtId="44" fontId="8" fillId="0" borderId="7" xfId="1" applyFont="1" applyBorder="1" applyAlignment="1">
      <alignment shrinkToFit="1"/>
    </xf>
    <xf numFmtId="0" fontId="5" fillId="3" borderId="0" xfId="0" applyFont="1" applyFill="1" applyAlignment="1">
      <alignment horizontal="center"/>
    </xf>
    <xf numFmtId="165" fontId="8" fillId="0" borderId="0" xfId="1" applyNumberFormat="1" applyFont="1" applyFill="1" applyBorder="1" applyAlignment="1">
      <alignment horizontal="center" shrinkToFit="1"/>
    </xf>
    <xf numFmtId="44" fontId="36" fillId="12" borderId="159" xfId="1" applyFont="1" applyFill="1" applyBorder="1" applyAlignment="1">
      <alignment vertical="center" shrinkToFit="1"/>
    </xf>
    <xf numFmtId="44" fontId="36" fillId="12" borderId="160" xfId="1" applyFont="1" applyFill="1" applyBorder="1" applyAlignment="1">
      <alignment vertical="center" shrinkToFit="1"/>
    </xf>
    <xf numFmtId="44" fontId="38" fillId="8" borderId="105" xfId="1" applyFont="1" applyFill="1" applyBorder="1" applyAlignment="1">
      <alignment vertical="center" shrinkToFit="1"/>
    </xf>
    <xf numFmtId="44" fontId="38" fillId="8" borderId="155" xfId="1" applyFont="1" applyFill="1" applyBorder="1" applyAlignment="1">
      <alignment vertical="center" shrinkToFit="1"/>
    </xf>
    <xf numFmtId="44" fontId="35" fillId="12" borderId="170" xfId="1" applyFont="1" applyFill="1" applyBorder="1" applyAlignment="1">
      <alignment vertical="center" shrinkToFit="1"/>
    </xf>
    <xf numFmtId="0" fontId="4" fillId="0" borderId="57" xfId="0" applyFont="1" applyBorder="1" applyAlignment="1">
      <alignment vertical="center"/>
    </xf>
    <xf numFmtId="0" fontId="4" fillId="0" borderId="58" xfId="0" applyFont="1" applyBorder="1" applyAlignment="1">
      <alignment vertical="center"/>
    </xf>
    <xf numFmtId="165" fontId="8" fillId="0" borderId="106" xfId="1" applyNumberFormat="1" applyFont="1" applyFill="1" applyBorder="1" applyAlignment="1">
      <alignment horizontal="center" shrinkToFit="1"/>
    </xf>
    <xf numFmtId="165" fontId="8" fillId="0" borderId="12" xfId="1" applyNumberFormat="1" applyFont="1" applyFill="1" applyBorder="1" applyAlignment="1">
      <alignment horizontal="center" shrinkToFit="1"/>
    </xf>
    <xf numFmtId="165" fontId="41" fillId="0" borderId="145" xfId="1" applyNumberFormat="1" applyFont="1" applyBorder="1" applyAlignment="1">
      <alignment horizontal="center" shrinkToFit="1"/>
    </xf>
    <xf numFmtId="165" fontId="41" fillId="0" borderId="144" xfId="1" applyNumberFormat="1" applyFont="1" applyBorder="1" applyAlignment="1">
      <alignment horizontal="center" shrinkToFit="1"/>
    </xf>
    <xf numFmtId="165" fontId="41" fillId="0" borderId="138" xfId="1" applyNumberFormat="1" applyFont="1" applyBorder="1" applyAlignment="1">
      <alignment horizontal="center" shrinkToFit="1"/>
    </xf>
    <xf numFmtId="165" fontId="41" fillId="0" borderId="106" xfId="1" applyNumberFormat="1" applyFont="1" applyBorder="1" applyAlignment="1">
      <alignment horizontal="center" shrinkToFit="1"/>
    </xf>
    <xf numFmtId="44" fontId="38" fillId="8" borderId="125" xfId="1" applyFont="1" applyFill="1" applyBorder="1" applyAlignment="1">
      <alignment vertical="center" shrinkToFit="1"/>
    </xf>
    <xf numFmtId="44" fontId="38" fillId="8" borderId="126" xfId="1" applyFont="1" applyFill="1" applyBorder="1" applyAlignment="1">
      <alignment vertical="center" shrinkToFit="1"/>
    </xf>
    <xf numFmtId="44" fontId="36" fillId="12" borderId="172" xfId="1" applyFont="1" applyFill="1" applyBorder="1" applyAlignment="1">
      <alignment vertical="center" shrinkToFit="1"/>
    </xf>
    <xf numFmtId="44" fontId="36" fillId="12" borderId="173" xfId="1" applyFont="1" applyFill="1" applyBorder="1" applyAlignment="1">
      <alignment vertical="center" shrinkToFit="1"/>
    </xf>
    <xf numFmtId="44" fontId="38" fillId="8" borderId="109" xfId="1" applyFont="1" applyFill="1" applyBorder="1" applyAlignment="1">
      <alignment vertical="center" shrinkToFit="1"/>
    </xf>
    <xf numFmtId="44" fontId="38" fillId="8" borderId="1" xfId="1" applyFont="1" applyFill="1" applyBorder="1" applyAlignment="1">
      <alignment vertical="center" shrinkToFit="1"/>
    </xf>
    <xf numFmtId="165" fontId="8" fillId="0" borderId="100" xfId="1" applyNumberFormat="1" applyFont="1" applyFill="1" applyBorder="1" applyAlignment="1">
      <alignment horizontal="center" shrinkToFit="1"/>
    </xf>
    <xf numFmtId="165" fontId="8" fillId="0" borderId="6" xfId="1" applyNumberFormat="1" applyFont="1" applyFill="1" applyBorder="1" applyAlignment="1">
      <alignment horizontal="center" shrinkToFit="1"/>
    </xf>
    <xf numFmtId="165" fontId="41" fillId="0" borderId="133" xfId="1" applyNumberFormat="1" applyFont="1" applyBorder="1" applyAlignment="1">
      <alignment horizontal="center" shrinkToFit="1"/>
    </xf>
    <xf numFmtId="165" fontId="41" fillId="0" borderId="137" xfId="1" applyNumberFormat="1" applyFont="1" applyBorder="1" applyAlignment="1">
      <alignment horizontal="center" shrinkToFit="1"/>
    </xf>
    <xf numFmtId="165" fontId="8" fillId="0" borderId="26" xfId="1" applyNumberFormat="1" applyFont="1" applyFill="1" applyBorder="1" applyAlignment="1">
      <alignment horizontal="center" shrinkToFit="1"/>
    </xf>
    <xf numFmtId="44" fontId="38" fillId="8" borderId="0" xfId="1" applyFont="1" applyFill="1" applyBorder="1" applyAlignment="1">
      <alignment vertical="center" shrinkToFit="1"/>
    </xf>
    <xf numFmtId="0" fontId="9" fillId="0" borderId="0" xfId="0" applyFont="1" applyAlignment="1">
      <alignment horizontal="right"/>
    </xf>
    <xf numFmtId="165" fontId="16" fillId="0" borderId="0" xfId="1" applyNumberFormat="1" applyFont="1" applyFill="1" applyBorder="1" applyAlignment="1">
      <alignment horizontal="center" vertical="center" wrapText="1" shrinkToFit="1"/>
    </xf>
    <xf numFmtId="165" fontId="23" fillId="0" borderId="0" xfId="1" applyNumberFormat="1" applyFont="1" applyFill="1" applyBorder="1" applyAlignment="1">
      <alignment horizontal="center" vertical="center" shrinkToFit="1"/>
    </xf>
    <xf numFmtId="0" fontId="45" fillId="11" borderId="3" xfId="1" applyNumberFormat="1" applyFont="1" applyFill="1" applyBorder="1" applyAlignment="1">
      <alignment horizontal="center" vertical="center"/>
    </xf>
    <xf numFmtId="44" fontId="41" fillId="0" borderId="85" xfId="1" applyFont="1" applyBorder="1" applyAlignment="1">
      <alignment horizontal="center" shrinkToFit="1"/>
    </xf>
    <xf numFmtId="0" fontId="45" fillId="11" borderId="83" xfId="1" applyNumberFormat="1" applyFont="1" applyFill="1" applyBorder="1" applyAlignment="1">
      <alignment horizontal="center" vertical="center"/>
    </xf>
    <xf numFmtId="0" fontId="45" fillId="11" borderId="0" xfId="1" applyNumberFormat="1" applyFont="1" applyFill="1" applyBorder="1" applyAlignment="1">
      <alignment horizontal="center" vertical="center"/>
    </xf>
    <xf numFmtId="0" fontId="16" fillId="6" borderId="42" xfId="0" applyFont="1" applyFill="1" applyBorder="1" applyAlignment="1">
      <alignment horizontal="right"/>
    </xf>
    <xf numFmtId="9" fontId="16" fillId="10" borderId="35" xfId="2" applyFont="1" applyFill="1" applyBorder="1" applyAlignment="1">
      <alignment horizontal="center"/>
    </xf>
    <xf numFmtId="0" fontId="16" fillId="6" borderId="78" xfId="1" applyNumberFormat="1" applyFont="1" applyFill="1" applyBorder="1" applyAlignment="1">
      <alignment horizontal="center" shrinkToFit="1"/>
    </xf>
    <xf numFmtId="0" fontId="16" fillId="6" borderId="0" xfId="1" applyNumberFormat="1" applyFont="1" applyFill="1" applyBorder="1" applyAlignment="1">
      <alignment horizontal="center" shrinkToFit="1"/>
    </xf>
    <xf numFmtId="0" fontId="16" fillId="6" borderId="188" xfId="1" applyNumberFormat="1" applyFont="1" applyFill="1" applyBorder="1" applyAlignment="1">
      <alignment horizontal="center" shrinkToFit="1"/>
    </xf>
    <xf numFmtId="44" fontId="41" fillId="0" borderId="7" xfId="1" applyFont="1" applyBorder="1" applyAlignment="1">
      <alignment horizontal="center" shrinkToFit="1"/>
    </xf>
    <xf numFmtId="44" fontId="41" fillId="0" borderId="25" xfId="1" applyFont="1" applyBorder="1" applyAlignment="1">
      <alignment horizontal="center" shrinkToFit="1"/>
    </xf>
    <xf numFmtId="44" fontId="41" fillId="2" borderId="100" xfId="1" applyFont="1" applyFill="1" applyBorder="1" applyAlignment="1">
      <alignment horizontal="center" shrinkToFit="1"/>
    </xf>
    <xf numFmtId="44" fontId="41" fillId="2" borderId="6" xfId="1" applyFont="1" applyFill="1" applyBorder="1" applyAlignment="1">
      <alignment horizontal="center" shrinkToFit="1"/>
    </xf>
    <xf numFmtId="44" fontId="8" fillId="0" borderId="6" xfId="1" applyFont="1" applyFill="1" applyBorder="1" applyAlignment="1">
      <alignment horizontal="center" shrinkToFit="1"/>
    </xf>
    <xf numFmtId="44" fontId="41" fillId="0" borderId="6" xfId="1" applyFont="1" applyBorder="1" applyAlignment="1">
      <alignment horizontal="center" shrinkToFit="1"/>
    </xf>
    <xf numFmtId="44" fontId="41" fillId="0" borderId="20" xfId="1" applyFont="1" applyBorder="1" applyAlignment="1">
      <alignment horizontal="center" shrinkToFit="1"/>
    </xf>
    <xf numFmtId="44" fontId="46" fillId="2" borderId="5" xfId="1" applyFont="1" applyFill="1" applyBorder="1" applyAlignment="1">
      <alignment horizontal="center" vertical="center" wrapText="1" shrinkToFit="1"/>
    </xf>
    <xf numFmtId="44" fontId="47" fillId="2" borderId="5" xfId="1" applyFont="1" applyFill="1" applyBorder="1" applyAlignment="1">
      <alignment horizontal="center" vertical="center" wrapText="1" shrinkToFit="1"/>
    </xf>
    <xf numFmtId="44" fontId="48" fillId="2" borderId="5" xfId="1" applyFont="1" applyFill="1" applyBorder="1" applyAlignment="1">
      <alignment horizontal="center" vertical="center" wrapText="1" shrinkToFit="1"/>
    </xf>
    <xf numFmtId="44" fontId="48" fillId="2" borderId="138" xfId="1" applyFont="1" applyFill="1" applyBorder="1" applyAlignment="1">
      <alignment horizontal="center" vertical="center" wrapText="1" shrinkToFit="1"/>
    </xf>
    <xf numFmtId="44" fontId="41" fillId="2" borderId="7" xfId="1" applyFont="1" applyFill="1" applyBorder="1" applyAlignment="1">
      <alignment shrinkToFit="1"/>
    </xf>
    <xf numFmtId="44" fontId="41" fillId="2" borderId="7" xfId="1" applyFont="1" applyFill="1" applyBorder="1" applyAlignment="1">
      <alignment horizontal="center" shrinkToFit="1"/>
    </xf>
    <xf numFmtId="44" fontId="14" fillId="2" borderId="7" xfId="1" applyFont="1" applyFill="1" applyBorder="1" applyAlignment="1">
      <alignment horizontal="center" vertical="center" wrapText="1" shrinkToFit="1"/>
    </xf>
    <xf numFmtId="44" fontId="46" fillId="2" borderId="7" xfId="1" applyFont="1" applyFill="1" applyBorder="1" applyAlignment="1">
      <alignment horizontal="center" vertical="center" wrapText="1" shrinkToFit="1"/>
    </xf>
    <xf numFmtId="44" fontId="21" fillId="2" borderId="7" xfId="1" applyFont="1" applyFill="1" applyBorder="1" applyAlignment="1">
      <alignment horizontal="center" vertical="center" wrapText="1" shrinkToFit="1"/>
    </xf>
    <xf numFmtId="44" fontId="47" fillId="2" borderId="7" xfId="1" applyFont="1" applyFill="1" applyBorder="1" applyAlignment="1">
      <alignment horizontal="center" vertical="center" wrapText="1" shrinkToFit="1"/>
    </xf>
    <xf numFmtId="44" fontId="20" fillId="2" borderId="7" xfId="1" applyFont="1" applyFill="1" applyBorder="1" applyAlignment="1">
      <alignment horizontal="center" vertical="center" wrapText="1" shrinkToFit="1"/>
    </xf>
    <xf numFmtId="44" fontId="48" fillId="2" borderId="7" xfId="1" applyFont="1" applyFill="1" applyBorder="1" applyAlignment="1">
      <alignment horizontal="center" vertical="center" wrapText="1" shrinkToFit="1"/>
    </xf>
    <xf numFmtId="44" fontId="48" fillId="2" borderId="139" xfId="1" applyFont="1" applyFill="1" applyBorder="1" applyAlignment="1">
      <alignment horizontal="center" vertical="center" wrapText="1" shrinkToFit="1"/>
    </xf>
    <xf numFmtId="44" fontId="41" fillId="2" borderId="6" xfId="1" applyFont="1" applyFill="1" applyBorder="1" applyAlignment="1">
      <alignment shrinkToFit="1"/>
    </xf>
    <xf numFmtId="44" fontId="14" fillId="2" borderId="6" xfId="1" applyFont="1" applyFill="1" applyBorder="1" applyAlignment="1">
      <alignment horizontal="center" vertical="center" wrapText="1" shrinkToFit="1"/>
    </xf>
    <xf numFmtId="44" fontId="46" fillId="2" borderId="6" xfId="1" applyFont="1" applyFill="1" applyBorder="1" applyAlignment="1">
      <alignment horizontal="center" vertical="center" wrapText="1" shrinkToFit="1"/>
    </xf>
    <xf numFmtId="44" fontId="21" fillId="2" borderId="6" xfId="1" applyFont="1" applyFill="1" applyBorder="1" applyAlignment="1">
      <alignment horizontal="center" vertical="center" wrapText="1" shrinkToFit="1"/>
    </xf>
    <xf numFmtId="44" fontId="47" fillId="2" borderId="6" xfId="1" applyFont="1" applyFill="1" applyBorder="1" applyAlignment="1">
      <alignment horizontal="center" vertical="center" wrapText="1" shrinkToFit="1"/>
    </xf>
    <xf numFmtId="44" fontId="20" fillId="2" borderId="6" xfId="1" applyFont="1" applyFill="1" applyBorder="1" applyAlignment="1">
      <alignment horizontal="center" vertical="center" wrapText="1" shrinkToFit="1"/>
    </xf>
    <xf numFmtId="44" fontId="48" fillId="2" borderId="6" xfId="1" applyFont="1" applyFill="1" applyBorder="1" applyAlignment="1">
      <alignment horizontal="center" vertical="center" wrapText="1" shrinkToFit="1"/>
    </xf>
    <xf numFmtId="44" fontId="48" fillId="2" borderId="137" xfId="1" applyFont="1" applyFill="1" applyBorder="1" applyAlignment="1">
      <alignment horizontal="center" vertical="center" wrapText="1" shrinkToFit="1"/>
    </xf>
    <xf numFmtId="44" fontId="46" fillId="2" borderId="8" xfId="1" applyFont="1" applyFill="1" applyBorder="1" applyAlignment="1">
      <alignment horizontal="center" vertical="center" wrapText="1" shrinkToFit="1"/>
    </xf>
    <xf numFmtId="44" fontId="47" fillId="2" borderId="8" xfId="1" applyFont="1" applyFill="1" applyBorder="1" applyAlignment="1">
      <alignment horizontal="center" vertical="center" wrapText="1" shrinkToFit="1"/>
    </xf>
    <xf numFmtId="44" fontId="21" fillId="2" borderId="8" xfId="1" applyFont="1" applyFill="1" applyBorder="1" applyAlignment="1">
      <alignment horizontal="center" vertical="center" wrapText="1" shrinkToFit="1"/>
    </xf>
    <xf numFmtId="44" fontId="20" fillId="2" borderId="8" xfId="1" applyFont="1" applyFill="1" applyBorder="1" applyAlignment="1">
      <alignment horizontal="center" vertical="center" wrapText="1" shrinkToFit="1"/>
    </xf>
    <xf numFmtId="44" fontId="48" fillId="2" borderId="8" xfId="1" applyFont="1" applyFill="1" applyBorder="1" applyAlignment="1">
      <alignment horizontal="center" vertical="center" wrapText="1" shrinkToFit="1"/>
    </xf>
    <xf numFmtId="44" fontId="46" fillId="2" borderId="7" xfId="1" applyFont="1" applyFill="1" applyBorder="1" applyAlignment="1">
      <alignment vertical="center" wrapText="1" shrinkToFit="1"/>
    </xf>
    <xf numFmtId="44" fontId="46" fillId="2" borderId="7" xfId="1" applyFont="1" applyFill="1" applyBorder="1" applyAlignment="1">
      <alignment vertical="center" shrinkToFit="1"/>
    </xf>
    <xf numFmtId="44" fontId="41" fillId="0" borderId="139" xfId="1" applyFont="1" applyBorder="1" applyAlignment="1">
      <alignment horizontal="center" shrinkToFit="1"/>
    </xf>
    <xf numFmtId="44" fontId="46" fillId="2" borderId="6" xfId="1" applyFont="1" applyFill="1" applyBorder="1" applyAlignment="1">
      <alignment vertical="center" wrapText="1" shrinkToFit="1"/>
    </xf>
    <xf numFmtId="44" fontId="46" fillId="2" borderId="6" xfId="1" applyFont="1" applyFill="1" applyBorder="1" applyAlignment="1">
      <alignment vertical="center" shrinkToFit="1"/>
    </xf>
    <xf numFmtId="44" fontId="41" fillId="0" borderId="137" xfId="1" applyFont="1" applyBorder="1" applyAlignment="1">
      <alignment horizontal="center" shrinkToFit="1"/>
    </xf>
    <xf numFmtId="44" fontId="41" fillId="0" borderId="145" xfId="1" applyFont="1" applyBorder="1" applyAlignment="1">
      <alignment horizontal="center" shrinkToFit="1"/>
    </xf>
    <xf numFmtId="44" fontId="46" fillId="2" borderId="8" xfId="1" applyFont="1" applyFill="1" applyBorder="1" applyAlignment="1">
      <alignment vertical="center" wrapText="1" shrinkToFit="1"/>
    </xf>
    <xf numFmtId="44" fontId="41" fillId="0" borderId="7" xfId="1" applyFont="1" applyBorder="1" applyAlignment="1">
      <alignment shrinkToFit="1"/>
    </xf>
    <xf numFmtId="44" fontId="8" fillId="0" borderId="12" xfId="1" applyFont="1" applyFill="1" applyBorder="1" applyAlignment="1">
      <alignment horizontal="center" shrinkToFit="1"/>
    </xf>
    <xf numFmtId="44" fontId="41" fillId="0" borderId="12" xfId="1" applyFont="1" applyBorder="1" applyAlignment="1">
      <alignment horizontal="center" shrinkToFit="1"/>
    </xf>
    <xf numFmtId="44" fontId="41" fillId="2" borderId="29" xfId="1" applyFont="1" applyFill="1" applyBorder="1" applyAlignment="1">
      <alignment horizontal="center" shrinkToFit="1"/>
    </xf>
    <xf numFmtId="44" fontId="41" fillId="0" borderId="29" xfId="1" applyFont="1" applyBorder="1" applyAlignment="1">
      <alignment horizontal="center" shrinkToFit="1"/>
    </xf>
    <xf numFmtId="44" fontId="48" fillId="2" borderId="12" xfId="1" applyFont="1" applyFill="1" applyBorder="1" applyAlignment="1">
      <alignment horizontal="center" vertical="center" wrapText="1" shrinkToFit="1"/>
    </xf>
    <xf numFmtId="44" fontId="48" fillId="2" borderId="133" xfId="1" applyFont="1" applyFill="1" applyBorder="1" applyAlignment="1">
      <alignment horizontal="center" vertical="center" wrapText="1" shrinkToFit="1"/>
    </xf>
    <xf numFmtId="44" fontId="41" fillId="2" borderId="149" xfId="1" applyFont="1" applyFill="1" applyBorder="1" applyAlignment="1">
      <alignment horizontal="center" shrinkToFit="1"/>
    </xf>
    <xf numFmtId="0" fontId="45" fillId="11" borderId="155" xfId="1" applyNumberFormat="1" applyFont="1" applyFill="1" applyBorder="1" applyAlignment="1">
      <alignment horizontal="center" vertical="center"/>
    </xf>
    <xf numFmtId="44" fontId="41" fillId="2" borderId="133" xfId="1" applyFont="1" applyFill="1" applyBorder="1" applyAlignment="1">
      <alignment horizontal="center" shrinkToFit="1"/>
    </xf>
    <xf numFmtId="44" fontId="46" fillId="2" borderId="12" xfId="1" applyFont="1" applyFill="1" applyBorder="1" applyAlignment="1">
      <alignment vertical="center" wrapText="1" shrinkToFit="1"/>
    </xf>
    <xf numFmtId="44" fontId="46" fillId="2" borderId="133" xfId="1" applyFont="1" applyFill="1" applyBorder="1" applyAlignment="1">
      <alignment vertical="center" wrapText="1" shrinkToFit="1"/>
    </xf>
    <xf numFmtId="44" fontId="46" fillId="2" borderId="85" xfId="1" applyFont="1" applyFill="1" applyBorder="1" applyAlignment="1">
      <alignment vertical="center" shrinkToFit="1"/>
    </xf>
    <xf numFmtId="44" fontId="46" fillId="2" borderId="100" xfId="1" applyFont="1" applyFill="1" applyBorder="1" applyAlignment="1">
      <alignment vertical="center" shrinkToFit="1"/>
    </xf>
    <xf numFmtId="0" fontId="39" fillId="6" borderId="78" xfId="1" applyNumberFormat="1" applyFont="1" applyFill="1" applyBorder="1" applyAlignment="1">
      <alignment horizontal="center" shrinkToFit="1"/>
    </xf>
    <xf numFmtId="44" fontId="41" fillId="0" borderId="30" xfId="1" applyFont="1" applyBorder="1" applyAlignment="1">
      <alignment horizontal="center" shrinkToFit="1"/>
    </xf>
    <xf numFmtId="44" fontId="41" fillId="0" borderId="100" xfId="1" applyFont="1" applyBorder="1" applyAlignment="1">
      <alignment horizontal="center" shrinkToFit="1"/>
    </xf>
    <xf numFmtId="0" fontId="16" fillId="6" borderId="104" xfId="1" applyNumberFormat="1" applyFont="1" applyFill="1" applyBorder="1" applyAlignment="1">
      <alignment horizontal="center" shrinkToFit="1"/>
    </xf>
    <xf numFmtId="0" fontId="45" fillId="11" borderId="174" xfId="1" applyNumberFormat="1" applyFont="1" applyFill="1" applyBorder="1" applyAlignment="1">
      <alignment horizontal="center" vertical="center"/>
    </xf>
    <xf numFmtId="44" fontId="46" fillId="2" borderId="106" xfId="1" applyFont="1" applyFill="1" applyBorder="1" applyAlignment="1">
      <alignment vertical="center" wrapText="1" shrinkToFit="1"/>
    </xf>
    <xf numFmtId="44" fontId="47" fillId="2" borderId="106" xfId="1" applyFont="1" applyFill="1" applyBorder="1" applyAlignment="1">
      <alignment horizontal="center" vertical="center" wrapText="1" shrinkToFit="1"/>
    </xf>
    <xf numFmtId="44" fontId="47" fillId="2" borderId="12" xfId="1" applyFont="1" applyFill="1" applyBorder="1" applyAlignment="1">
      <alignment horizontal="center" vertical="center" wrapText="1" shrinkToFit="1"/>
    </xf>
    <xf numFmtId="44" fontId="47" fillId="2" borderId="133" xfId="1" applyFont="1" applyFill="1" applyBorder="1" applyAlignment="1">
      <alignment horizontal="center" vertical="center" wrapText="1" shrinkToFit="1"/>
    </xf>
    <xf numFmtId="44" fontId="47" fillId="2" borderId="84" xfId="1" applyFont="1" applyFill="1" applyBorder="1" applyAlignment="1">
      <alignment horizontal="center" vertical="center" wrapText="1" shrinkToFit="1"/>
    </xf>
    <xf numFmtId="44" fontId="47" fillId="2" borderId="85" xfId="1" applyFont="1" applyFill="1" applyBorder="1" applyAlignment="1">
      <alignment horizontal="center" vertical="center" wrapText="1" shrinkToFit="1"/>
    </xf>
    <xf numFmtId="44" fontId="47" fillId="2" borderId="100" xfId="1" applyFont="1" applyFill="1" applyBorder="1" applyAlignment="1">
      <alignment horizontal="center" vertical="center" wrapText="1" shrinkToFit="1"/>
    </xf>
    <xf numFmtId="44" fontId="48" fillId="2" borderId="106" xfId="1" applyFont="1" applyFill="1" applyBorder="1" applyAlignment="1">
      <alignment horizontal="center" vertical="center" wrapText="1" shrinkToFit="1"/>
    </xf>
    <xf numFmtId="44" fontId="41" fillId="0" borderId="143" xfId="1" applyFont="1" applyBorder="1" applyAlignment="1">
      <alignment horizontal="center" shrinkToFit="1"/>
    </xf>
    <xf numFmtId="44" fontId="41" fillId="2" borderId="85" xfId="1" applyFont="1" applyFill="1" applyBorder="1" applyAlignment="1">
      <alignment horizontal="center" shrinkToFit="1"/>
    </xf>
    <xf numFmtId="44" fontId="41" fillId="2" borderId="139" xfId="1" applyFont="1" applyFill="1" applyBorder="1" applyAlignment="1">
      <alignment horizontal="center" shrinkToFit="1"/>
    </xf>
    <xf numFmtId="44" fontId="41" fillId="2" borderId="137" xfId="1" applyFont="1" applyFill="1" applyBorder="1" applyAlignment="1">
      <alignment horizontal="center" shrinkToFit="1"/>
    </xf>
    <xf numFmtId="0" fontId="5" fillId="3" borderId="134" xfId="0" quotePrefix="1" applyFont="1" applyFill="1" applyBorder="1" applyAlignment="1">
      <alignment horizontal="center" shrinkToFit="1"/>
    </xf>
    <xf numFmtId="44" fontId="41" fillId="2" borderId="85" xfId="1" applyFont="1" applyFill="1" applyBorder="1" applyAlignment="1">
      <alignment shrinkToFit="1"/>
    </xf>
    <xf numFmtId="44" fontId="41" fillId="2" borderId="100" xfId="1" applyFont="1" applyFill="1" applyBorder="1" applyAlignment="1">
      <alignment shrinkToFit="1"/>
    </xf>
    <xf numFmtId="44" fontId="8" fillId="2" borderId="85" xfId="1" applyFont="1" applyFill="1" applyBorder="1" applyAlignment="1">
      <alignment horizontal="center" shrinkToFit="1"/>
    </xf>
    <xf numFmtId="44" fontId="8" fillId="2" borderId="100" xfId="1" applyFont="1" applyFill="1" applyBorder="1" applyAlignment="1">
      <alignment horizontal="center" shrinkToFit="1"/>
    </xf>
    <xf numFmtId="0" fontId="45" fillId="11" borderId="105" xfId="1" applyNumberFormat="1" applyFont="1" applyFill="1" applyBorder="1" applyAlignment="1">
      <alignment horizontal="center" vertical="center"/>
    </xf>
    <xf numFmtId="44" fontId="18" fillId="12" borderId="194" xfId="1" applyFont="1" applyFill="1" applyBorder="1" applyAlignment="1">
      <alignment shrinkToFit="1"/>
    </xf>
    <xf numFmtId="44" fontId="18" fillId="12" borderId="106" xfId="1" applyFont="1" applyFill="1" applyBorder="1" applyAlignment="1">
      <alignment shrinkToFit="1"/>
    </xf>
    <xf numFmtId="44" fontId="18" fillId="12" borderId="45" xfId="1" applyFont="1" applyFill="1" applyBorder="1" applyAlignment="1">
      <alignment shrinkToFit="1"/>
    </xf>
    <xf numFmtId="44" fontId="18" fillId="12" borderId="12" xfId="1" applyFont="1" applyFill="1" applyBorder="1" applyAlignment="1">
      <alignment shrinkToFit="1"/>
    </xf>
    <xf numFmtId="44" fontId="18" fillId="12" borderId="44" xfId="1" applyFont="1" applyFill="1" applyBorder="1" applyAlignment="1">
      <alignment shrinkToFit="1"/>
    </xf>
    <xf numFmtId="44" fontId="18" fillId="12" borderId="133" xfId="1" applyFont="1" applyFill="1" applyBorder="1" applyAlignment="1">
      <alignment shrinkToFit="1"/>
    </xf>
    <xf numFmtId="44" fontId="18" fillId="12" borderId="43" xfId="1" applyFont="1" applyFill="1" applyBorder="1" applyAlignment="1">
      <alignment shrinkToFit="1"/>
    </xf>
    <xf numFmtId="44" fontId="18" fillId="12" borderId="9" xfId="1" applyFont="1" applyFill="1" applyBorder="1" applyAlignment="1">
      <alignment shrinkToFit="1"/>
    </xf>
    <xf numFmtId="0" fontId="35" fillId="12" borderId="78" xfId="1" applyNumberFormat="1" applyFont="1" applyFill="1" applyBorder="1" applyAlignment="1">
      <alignment horizontal="center" shrinkToFit="1"/>
    </xf>
    <xf numFmtId="0" fontId="35" fillId="12" borderId="0" xfId="1" applyNumberFormat="1" applyFont="1" applyFill="1" applyBorder="1" applyAlignment="1">
      <alignment horizontal="center" shrinkToFit="1"/>
    </xf>
    <xf numFmtId="44" fontId="36" fillId="12" borderId="163" xfId="1" applyFont="1" applyFill="1" applyBorder="1" applyAlignment="1">
      <alignment vertical="center" shrinkToFit="1"/>
    </xf>
    <xf numFmtId="44" fontId="36" fillId="12" borderId="164" xfId="1" applyFont="1" applyFill="1" applyBorder="1" applyAlignment="1">
      <alignment vertical="center" shrinkToFit="1"/>
    </xf>
    <xf numFmtId="44" fontId="35" fillId="12" borderId="163" xfId="1" applyFont="1" applyFill="1" applyBorder="1" applyAlignment="1">
      <alignment vertical="center" shrinkToFit="1"/>
    </xf>
    <xf numFmtId="44" fontId="35" fillId="12" borderId="164" xfId="1" applyFont="1" applyFill="1" applyBorder="1" applyAlignment="1">
      <alignment vertical="center" shrinkToFit="1"/>
    </xf>
    <xf numFmtId="44" fontId="24" fillId="2" borderId="156" xfId="1" applyFont="1" applyFill="1" applyBorder="1" applyAlignment="1">
      <alignment vertical="center" shrinkToFit="1"/>
    </xf>
    <xf numFmtId="44" fontId="24" fillId="2" borderId="11" xfId="1" applyFont="1" applyFill="1" applyBorder="1" applyAlignment="1">
      <alignment vertical="center" shrinkToFit="1"/>
    </xf>
    <xf numFmtId="44" fontId="24" fillId="2" borderId="203" xfId="1" applyFont="1" applyFill="1" applyBorder="1" applyAlignment="1">
      <alignment vertical="center" shrinkToFit="1"/>
    </xf>
    <xf numFmtId="44" fontId="42" fillId="2" borderId="156" xfId="1" applyFont="1" applyFill="1" applyBorder="1" applyAlignment="1">
      <alignment vertical="center" shrinkToFit="1"/>
    </xf>
    <xf numFmtId="44" fontId="42" fillId="2" borderId="11" xfId="1" applyFont="1" applyFill="1" applyBorder="1" applyAlignment="1">
      <alignment vertical="center" shrinkToFit="1"/>
    </xf>
    <xf numFmtId="44" fontId="42" fillId="2" borderId="26" xfId="1" applyFont="1" applyFill="1" applyBorder="1" applyAlignment="1">
      <alignment vertical="center" shrinkToFit="1"/>
    </xf>
    <xf numFmtId="44" fontId="8" fillId="9" borderId="120" xfId="1" applyFont="1" applyFill="1" applyBorder="1" applyAlignment="1">
      <alignment horizontal="center" shrinkToFit="1"/>
    </xf>
    <xf numFmtId="44" fontId="41" fillId="9" borderId="120" xfId="1" applyFont="1" applyFill="1" applyBorder="1" applyAlignment="1">
      <alignment horizontal="center" shrinkToFit="1"/>
    </xf>
    <xf numFmtId="44" fontId="8" fillId="9" borderId="8" xfId="1" applyFont="1" applyFill="1" applyBorder="1" applyAlignment="1">
      <alignment horizontal="center" shrinkToFit="1"/>
    </xf>
    <xf numFmtId="44" fontId="41" fillId="9" borderId="8" xfId="1" applyFont="1" applyFill="1" applyBorder="1" applyAlignment="1">
      <alignment horizontal="center" shrinkToFit="1"/>
    </xf>
    <xf numFmtId="44" fontId="8" fillId="9" borderId="9" xfId="1" applyFont="1" applyFill="1" applyBorder="1" applyAlignment="1">
      <alignment horizontal="center" shrinkToFit="1"/>
    </xf>
    <xf numFmtId="44" fontId="41" fillId="9" borderId="19" xfId="1" applyFont="1" applyFill="1" applyBorder="1" applyAlignment="1">
      <alignment horizontal="center" shrinkToFit="1"/>
    </xf>
    <xf numFmtId="44" fontId="35" fillId="12" borderId="207" xfId="1" applyFont="1" applyFill="1" applyBorder="1" applyAlignment="1">
      <alignment vertical="center" shrinkToFit="1"/>
    </xf>
    <xf numFmtId="44" fontId="35" fillId="12" borderId="173" xfId="1" applyFont="1" applyFill="1" applyBorder="1" applyAlignment="1">
      <alignment vertical="center" shrinkToFit="1"/>
    </xf>
    <xf numFmtId="44" fontId="8" fillId="0" borderId="6" xfId="1" applyFont="1" applyFill="1" applyBorder="1" applyAlignment="1">
      <alignment shrinkToFit="1"/>
    </xf>
    <xf numFmtId="44" fontId="8" fillId="0" borderId="133" xfId="1" applyFont="1" applyFill="1" applyBorder="1" applyAlignment="1">
      <alignment shrinkToFit="1"/>
    </xf>
    <xf numFmtId="44" fontId="41" fillId="0" borderId="6" xfId="1" applyFont="1" applyFill="1" applyBorder="1" applyAlignment="1">
      <alignment shrinkToFit="1"/>
    </xf>
    <xf numFmtId="44" fontId="41" fillId="0" borderId="20" xfId="1" applyFont="1" applyFill="1" applyBorder="1" applyAlignment="1">
      <alignment shrinkToFit="1"/>
    </xf>
    <xf numFmtId="44" fontId="8" fillId="2" borderId="100" xfId="1" applyFont="1" applyFill="1" applyBorder="1" applyAlignment="1">
      <alignment shrinkToFit="1"/>
    </xf>
    <xf numFmtId="44" fontId="8" fillId="2" borderId="6" xfId="1" applyFont="1" applyFill="1" applyBorder="1" applyAlignment="1">
      <alignment shrinkToFit="1"/>
    </xf>
    <xf numFmtId="0" fontId="50" fillId="0" borderId="0" xfId="0" applyFont="1" applyAlignment="1">
      <alignment shrinkToFit="1"/>
    </xf>
    <xf numFmtId="0" fontId="51" fillId="11" borderId="72" xfId="1" applyNumberFormat="1" applyFont="1" applyFill="1" applyBorder="1" applyAlignment="1">
      <alignment horizontal="center" vertical="center"/>
    </xf>
    <xf numFmtId="0" fontId="51" fillId="11" borderId="3" xfId="1" applyNumberFormat="1" applyFont="1" applyFill="1" applyBorder="1" applyAlignment="1">
      <alignment horizontal="center" vertical="center"/>
    </xf>
    <xf numFmtId="0" fontId="51" fillId="11" borderId="42" xfId="1" applyNumberFormat="1" applyFont="1" applyFill="1" applyBorder="1" applyAlignment="1">
      <alignment horizontal="center" vertical="center"/>
    </xf>
    <xf numFmtId="0" fontId="51" fillId="11" borderId="0" xfId="1" applyNumberFormat="1" applyFont="1" applyFill="1" applyBorder="1" applyAlignment="1">
      <alignment horizontal="center" vertical="center"/>
    </xf>
    <xf numFmtId="0" fontId="52" fillId="11" borderId="72" xfId="1" applyNumberFormat="1" applyFont="1" applyFill="1" applyBorder="1" applyAlignment="1">
      <alignment horizontal="center" vertical="center"/>
    </xf>
    <xf numFmtId="0" fontId="52" fillId="11" borderId="3" xfId="1" applyNumberFormat="1" applyFont="1" applyFill="1" applyBorder="1" applyAlignment="1">
      <alignment horizontal="center" vertical="center"/>
    </xf>
    <xf numFmtId="0" fontId="51" fillId="11" borderId="155" xfId="1" applyNumberFormat="1" applyFont="1" applyFill="1" applyBorder="1" applyAlignment="1">
      <alignment horizontal="center" vertical="center"/>
    </xf>
    <xf numFmtId="0" fontId="9" fillId="7" borderId="68" xfId="0" applyFont="1" applyFill="1" applyBorder="1" applyAlignment="1">
      <alignment horizontal="right"/>
    </xf>
    <xf numFmtId="0" fontId="51" fillId="11" borderId="126" xfId="1" applyNumberFormat="1" applyFont="1" applyFill="1" applyBorder="1" applyAlignment="1">
      <alignment horizontal="center" vertical="center"/>
    </xf>
    <xf numFmtId="0" fontId="45" fillId="11" borderId="178" xfId="1" applyNumberFormat="1" applyFont="1" applyFill="1" applyBorder="1" applyAlignment="1">
      <alignment horizontal="center" vertical="center"/>
    </xf>
    <xf numFmtId="0" fontId="45" fillId="11" borderId="179" xfId="1" applyNumberFormat="1" applyFont="1" applyFill="1" applyBorder="1" applyAlignment="1">
      <alignment horizontal="center" vertical="center"/>
    </xf>
    <xf numFmtId="44" fontId="9" fillId="7" borderId="84" xfId="1" applyFont="1" applyFill="1" applyBorder="1" applyAlignment="1">
      <alignment horizontal="center" shrinkToFit="1"/>
    </xf>
    <xf numFmtId="44" fontId="43" fillId="7" borderId="5" xfId="1" applyFont="1" applyFill="1" applyBorder="1" applyAlignment="1">
      <alignment horizontal="center" shrinkToFit="1"/>
    </xf>
    <xf numFmtId="44" fontId="43" fillId="7" borderId="106" xfId="1" applyFont="1" applyFill="1" applyBorder="1" applyAlignment="1">
      <alignment horizontal="center" shrinkToFit="1"/>
    </xf>
    <xf numFmtId="0" fontId="45" fillId="11" borderId="215" xfId="1" applyNumberFormat="1" applyFont="1" applyFill="1" applyBorder="1" applyAlignment="1">
      <alignment horizontal="center" vertical="center"/>
    </xf>
    <xf numFmtId="44" fontId="43" fillId="7" borderId="84" xfId="1" applyFont="1" applyFill="1" applyBorder="1" applyAlignment="1">
      <alignment horizontal="center" shrinkToFit="1"/>
    </xf>
    <xf numFmtId="0" fontId="45" fillId="11" borderId="216" xfId="1" applyNumberFormat="1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shrinkToFit="1"/>
    </xf>
    <xf numFmtId="44" fontId="43" fillId="7" borderId="84" xfId="1" applyFont="1" applyFill="1" applyBorder="1" applyAlignment="1">
      <alignment shrinkToFit="1"/>
    </xf>
    <xf numFmtId="44" fontId="43" fillId="7" borderId="5" xfId="1" applyFont="1" applyFill="1" applyBorder="1" applyAlignment="1">
      <alignment shrinkToFit="1"/>
    </xf>
    <xf numFmtId="44" fontId="9" fillId="7" borderId="5" xfId="1" applyFont="1" applyFill="1" applyBorder="1" applyAlignment="1">
      <alignment horizontal="center" shrinkToFit="1"/>
    </xf>
    <xf numFmtId="44" fontId="43" fillId="7" borderId="138" xfId="1" applyFont="1" applyFill="1" applyBorder="1" applyAlignment="1">
      <alignment horizontal="center" shrinkToFit="1"/>
    </xf>
    <xf numFmtId="44" fontId="43" fillId="7" borderId="24" xfId="1" applyFont="1" applyFill="1" applyBorder="1" applyAlignment="1">
      <alignment horizontal="center" shrinkToFit="1"/>
    </xf>
    <xf numFmtId="44" fontId="43" fillId="2" borderId="120" xfId="1" applyFont="1" applyFill="1" applyBorder="1" applyAlignment="1">
      <alignment shrinkToFit="1"/>
    </xf>
    <xf numFmtId="44" fontId="43" fillId="2" borderId="8" xfId="1" applyFont="1" applyFill="1" applyBorder="1" applyAlignment="1">
      <alignment shrinkToFit="1"/>
    </xf>
    <xf numFmtId="44" fontId="43" fillId="7" borderId="8" xfId="1" applyFont="1" applyFill="1" applyBorder="1" applyAlignment="1">
      <alignment horizontal="center" shrinkToFit="1"/>
    </xf>
    <xf numFmtId="44" fontId="9" fillId="7" borderId="8" xfId="1" applyFont="1" applyFill="1" applyBorder="1" applyAlignment="1">
      <alignment horizontal="center" shrinkToFit="1"/>
    </xf>
    <xf numFmtId="44" fontId="43" fillId="2" borderId="120" xfId="1" applyFont="1" applyFill="1" applyBorder="1" applyAlignment="1">
      <alignment horizontal="center" shrinkToFit="1"/>
    </xf>
    <xf numFmtId="44" fontId="43" fillId="2" borderId="8" xfId="1" applyFont="1" applyFill="1" applyBorder="1" applyAlignment="1">
      <alignment horizontal="center" shrinkToFit="1"/>
    </xf>
    <xf numFmtId="44" fontId="43" fillId="2" borderId="84" xfId="1" applyFont="1" applyFill="1" applyBorder="1" applyAlignment="1">
      <alignment horizontal="center" shrinkToFit="1"/>
    </xf>
    <xf numFmtId="44" fontId="43" fillId="2" borderId="5" xfId="1" applyFont="1" applyFill="1" applyBorder="1" applyAlignment="1">
      <alignment horizontal="center" shrinkToFit="1"/>
    </xf>
    <xf numFmtId="44" fontId="43" fillId="2" borderId="138" xfId="1" applyFont="1" applyFill="1" applyBorder="1" applyAlignment="1">
      <alignment horizontal="center" shrinkToFit="1"/>
    </xf>
    <xf numFmtId="44" fontId="43" fillId="7" borderId="144" xfId="1" applyFont="1" applyFill="1" applyBorder="1" applyAlignment="1">
      <alignment horizontal="center" shrinkToFit="1"/>
    </xf>
    <xf numFmtId="44" fontId="54" fillId="12" borderId="45" xfId="1" applyFont="1" applyFill="1" applyBorder="1" applyAlignment="1">
      <alignment shrinkToFit="1"/>
    </xf>
    <xf numFmtId="44" fontId="54" fillId="12" borderId="12" xfId="1" applyFont="1" applyFill="1" applyBorder="1" applyAlignment="1">
      <alignment shrinkToFit="1"/>
    </xf>
    <xf numFmtId="0" fontId="9" fillId="7" borderId="189" xfId="0" applyFont="1" applyFill="1" applyBorder="1" applyAlignment="1">
      <alignment horizontal="center" shrinkToFit="1"/>
    </xf>
    <xf numFmtId="0" fontId="9" fillId="0" borderId="190" xfId="0" applyFont="1" applyBorder="1" applyAlignment="1">
      <alignment horizontal="center" shrinkToFit="1"/>
    </xf>
    <xf numFmtId="0" fontId="9" fillId="0" borderId="191" xfId="0" applyFont="1" applyBorder="1" applyAlignment="1">
      <alignment horizontal="center" shrinkToFit="1"/>
    </xf>
    <xf numFmtId="0" fontId="9" fillId="0" borderId="192" xfId="0" applyFont="1" applyBorder="1" applyAlignment="1">
      <alignment horizontal="center" shrinkToFit="1"/>
    </xf>
    <xf numFmtId="0" fontId="43" fillId="7" borderId="189" xfId="0" applyFont="1" applyFill="1" applyBorder="1" applyAlignment="1">
      <alignment horizontal="center" shrinkToFit="1"/>
    </xf>
    <xf numFmtId="0" fontId="43" fillId="0" borderId="190" xfId="0" applyFont="1" applyBorder="1" applyAlignment="1">
      <alignment horizontal="center" shrinkToFit="1"/>
    </xf>
    <xf numFmtId="0" fontId="43" fillId="0" borderId="191" xfId="0" applyFont="1" applyBorder="1" applyAlignment="1">
      <alignment horizontal="center" shrinkToFit="1"/>
    </xf>
    <xf numFmtId="0" fontId="43" fillId="0" borderId="35" xfId="0" applyFont="1" applyBorder="1" applyAlignment="1">
      <alignment horizontal="center" shrinkToFit="1"/>
    </xf>
    <xf numFmtId="0" fontId="43" fillId="7" borderId="32" xfId="0" applyFont="1" applyFill="1" applyBorder="1" applyAlignment="1">
      <alignment horizontal="center" shrinkToFit="1"/>
    </xf>
    <xf numFmtId="0" fontId="43" fillId="0" borderId="33" xfId="0" applyFont="1" applyBorder="1" applyAlignment="1">
      <alignment horizontal="center" shrinkToFit="1"/>
    </xf>
    <xf numFmtId="0" fontId="43" fillId="0" borderId="93" xfId="0" applyFont="1" applyBorder="1" applyAlignment="1">
      <alignment horizontal="center" shrinkToFit="1"/>
    </xf>
    <xf numFmtId="0" fontId="9" fillId="7" borderId="32" xfId="0" applyFont="1" applyFill="1" applyBorder="1" applyAlignment="1">
      <alignment horizontal="center" shrinkToFit="1"/>
    </xf>
    <xf numFmtId="0" fontId="9" fillId="7" borderId="208" xfId="0" applyFont="1" applyFill="1" applyBorder="1" applyAlignment="1">
      <alignment horizontal="center" shrinkToFit="1"/>
    </xf>
    <xf numFmtId="0" fontId="9" fillId="0" borderId="34" xfId="0" applyFont="1" applyBorder="1" applyAlignment="1">
      <alignment horizontal="center"/>
    </xf>
    <xf numFmtId="0" fontId="9" fillId="9" borderId="169" xfId="0" applyFont="1" applyFill="1" applyBorder="1" applyAlignment="1">
      <alignment horizontal="center"/>
    </xf>
    <xf numFmtId="44" fontId="9" fillId="7" borderId="84" xfId="1" applyFont="1" applyFill="1" applyBorder="1" applyAlignment="1">
      <alignment shrinkToFit="1"/>
    </xf>
    <xf numFmtId="44" fontId="9" fillId="7" borderId="5" xfId="1" applyFont="1" applyFill="1" applyBorder="1" applyAlignment="1">
      <alignment shrinkToFit="1"/>
    </xf>
    <xf numFmtId="44" fontId="9" fillId="7" borderId="106" xfId="1" applyFont="1" applyFill="1" applyBorder="1" applyAlignment="1">
      <alignment shrinkToFit="1"/>
    </xf>
    <xf numFmtId="44" fontId="43" fillId="7" borderId="24" xfId="1" applyFont="1" applyFill="1" applyBorder="1" applyAlignment="1">
      <alignment shrinkToFit="1"/>
    </xf>
    <xf numFmtId="0" fontId="55" fillId="7" borderId="68" xfId="0" applyFont="1" applyFill="1" applyBorder="1" applyAlignment="1">
      <alignment horizontal="center" shrinkToFit="1"/>
    </xf>
    <xf numFmtId="0" fontId="55" fillId="0" borderId="67" xfId="0" applyFont="1" applyBorder="1" applyAlignment="1">
      <alignment horizontal="center" shrinkToFit="1"/>
    </xf>
    <xf numFmtId="0" fontId="11" fillId="7" borderId="64" xfId="0" applyFont="1" applyFill="1" applyBorder="1" applyAlignment="1">
      <alignment horizontal="right"/>
    </xf>
    <xf numFmtId="0" fontId="57" fillId="8" borderId="72" xfId="1" applyNumberFormat="1" applyFont="1" applyFill="1" applyBorder="1" applyAlignment="1">
      <alignment horizontal="center" vertical="center" shrinkToFit="1"/>
    </xf>
    <xf numFmtId="44" fontId="17" fillId="7" borderId="120" xfId="1" applyFont="1" applyFill="1" applyBorder="1" applyAlignment="1">
      <alignment horizontal="center" shrinkToFit="1"/>
    </xf>
    <xf numFmtId="44" fontId="18" fillId="0" borderId="85" xfId="1" applyFont="1" applyFill="1" applyBorder="1" applyAlignment="1">
      <alignment horizontal="center" shrinkToFit="1"/>
    </xf>
    <xf numFmtId="44" fontId="58" fillId="0" borderId="0" xfId="1" applyFont="1" applyAlignment="1">
      <alignment shrinkToFit="1"/>
    </xf>
    <xf numFmtId="165" fontId="43" fillId="7" borderId="84" xfId="1" applyNumberFormat="1" applyFont="1" applyFill="1" applyBorder="1" applyAlignment="1">
      <alignment horizontal="center" shrinkToFit="1"/>
    </xf>
    <xf numFmtId="165" fontId="43" fillId="7" borderId="5" xfId="1" applyNumberFormat="1" applyFont="1" applyFill="1" applyBorder="1" applyAlignment="1">
      <alignment horizontal="center" shrinkToFit="1"/>
    </xf>
    <xf numFmtId="165" fontId="9" fillId="7" borderId="5" xfId="1" applyNumberFormat="1" applyFont="1" applyFill="1" applyBorder="1" applyAlignment="1">
      <alignment horizontal="center" shrinkToFit="1"/>
    </xf>
    <xf numFmtId="44" fontId="38" fillId="8" borderId="100" xfId="1" applyFont="1" applyFill="1" applyBorder="1" applyAlignment="1">
      <alignment vertical="center" shrinkToFit="1"/>
    </xf>
    <xf numFmtId="44" fontId="38" fillId="8" borderId="6" xfId="1" applyFont="1" applyFill="1" applyBorder="1" applyAlignment="1">
      <alignment vertical="center" shrinkToFit="1"/>
    </xf>
    <xf numFmtId="44" fontId="38" fillId="8" borderId="137" xfId="1" applyFont="1" applyFill="1" applyBorder="1" applyAlignment="1">
      <alignment vertical="center" shrinkToFit="1"/>
    </xf>
    <xf numFmtId="0" fontId="43" fillId="0" borderId="218" xfId="0" applyFont="1" applyBorder="1" applyAlignment="1">
      <alignment horizontal="right"/>
    </xf>
    <xf numFmtId="0" fontId="43" fillId="7" borderId="219" xfId="0" applyFont="1" applyFill="1" applyBorder="1"/>
    <xf numFmtId="0" fontId="43" fillId="7" borderId="221" xfId="0" applyFont="1" applyFill="1" applyBorder="1"/>
    <xf numFmtId="44" fontId="54" fillId="12" borderId="44" xfId="1" applyFont="1" applyFill="1" applyBorder="1" applyAlignment="1">
      <alignment shrinkToFit="1"/>
    </xf>
    <xf numFmtId="44" fontId="54" fillId="12" borderId="133" xfId="1" applyFont="1" applyFill="1" applyBorder="1" applyAlignment="1">
      <alignment shrinkToFit="1"/>
    </xf>
    <xf numFmtId="165" fontId="43" fillId="7" borderId="24" xfId="1" applyNumberFormat="1" applyFont="1" applyFill="1" applyBorder="1" applyAlignment="1">
      <alignment horizontal="center" shrinkToFit="1"/>
    </xf>
    <xf numFmtId="165" fontId="41" fillId="0" borderId="20" xfId="1" applyNumberFormat="1" applyFont="1" applyFill="1" applyBorder="1" applyAlignment="1">
      <alignment horizontal="center" shrinkToFit="1"/>
    </xf>
    <xf numFmtId="0" fontId="45" fillId="11" borderId="193" xfId="1" applyNumberFormat="1" applyFont="1" applyFill="1" applyBorder="1" applyAlignment="1">
      <alignment horizontal="center" vertical="center"/>
    </xf>
    <xf numFmtId="0" fontId="45" fillId="11" borderId="175" xfId="1" applyNumberFormat="1" applyFont="1" applyFill="1" applyBorder="1" applyAlignment="1">
      <alignment horizontal="center" vertical="center"/>
    </xf>
    <xf numFmtId="44" fontId="38" fillId="8" borderId="120" xfId="1" applyFont="1" applyFill="1" applyBorder="1" applyAlignment="1">
      <alignment vertical="center" shrinkToFit="1"/>
    </xf>
    <xf numFmtId="44" fontId="38" fillId="8" borderId="8" xfId="1" applyFont="1" applyFill="1" applyBorder="1" applyAlignment="1">
      <alignment vertical="center" shrinkToFit="1"/>
    </xf>
    <xf numFmtId="44" fontId="38" fillId="8" borderId="141" xfId="1" applyFont="1" applyFill="1" applyBorder="1" applyAlignment="1">
      <alignment vertical="center" shrinkToFit="1"/>
    </xf>
    <xf numFmtId="44" fontId="54" fillId="12" borderId="43" xfId="1" applyFont="1" applyFill="1" applyBorder="1" applyAlignment="1">
      <alignment shrinkToFit="1"/>
    </xf>
    <xf numFmtId="44" fontId="54" fillId="12" borderId="9" xfId="1" applyFont="1" applyFill="1" applyBorder="1" applyAlignment="1">
      <alignment shrinkToFit="1"/>
    </xf>
    <xf numFmtId="0" fontId="45" fillId="11" borderId="195" xfId="1" applyNumberFormat="1" applyFont="1" applyFill="1" applyBorder="1" applyAlignment="1">
      <alignment horizontal="center" vertical="center"/>
    </xf>
    <xf numFmtId="0" fontId="55" fillId="0" borderId="218" xfId="0" applyFont="1" applyBorder="1" applyAlignment="1">
      <alignment horizontal="center" shrinkToFit="1"/>
    </xf>
    <xf numFmtId="44" fontId="18" fillId="0" borderId="100" xfId="1" applyFont="1" applyFill="1" applyBorder="1" applyAlignment="1">
      <alignment horizontal="center" shrinkToFit="1"/>
    </xf>
    <xf numFmtId="44" fontId="18" fillId="0" borderId="6" xfId="1" applyFont="1" applyFill="1" applyBorder="1" applyAlignment="1">
      <alignment horizontal="center" shrinkToFit="1"/>
    </xf>
    <xf numFmtId="44" fontId="18" fillId="0" borderId="133" xfId="1" applyFont="1" applyFill="1" applyBorder="1" applyAlignment="1">
      <alignment horizontal="center" shrinkToFit="1"/>
    </xf>
    <xf numFmtId="44" fontId="8" fillId="0" borderId="133" xfId="1" applyFont="1" applyFill="1" applyBorder="1" applyAlignment="1">
      <alignment horizontal="center" shrinkToFit="1"/>
    </xf>
    <xf numFmtId="44" fontId="8" fillId="0" borderId="100" xfId="1" applyFont="1" applyFill="1" applyBorder="1" applyAlignment="1">
      <alignment horizontal="center" shrinkToFit="1"/>
    </xf>
    <xf numFmtId="165" fontId="41" fillId="2" borderId="100" xfId="1" applyNumberFormat="1" applyFont="1" applyFill="1" applyBorder="1" applyAlignment="1">
      <alignment horizontal="center" shrinkToFit="1"/>
    </xf>
    <xf numFmtId="165" fontId="41" fillId="2" borderId="6" xfId="1" applyNumberFormat="1" applyFont="1" applyFill="1" applyBorder="1" applyAlignment="1">
      <alignment horizontal="center" shrinkToFit="1"/>
    </xf>
    <xf numFmtId="165" fontId="8" fillId="2" borderId="6" xfId="1" applyNumberFormat="1" applyFont="1" applyFill="1" applyBorder="1" applyAlignment="1">
      <alignment horizontal="center" shrinkToFit="1"/>
    </xf>
    <xf numFmtId="165" fontId="16" fillId="3" borderId="44" xfId="0" quotePrefix="1" applyNumberFormat="1" applyFont="1" applyFill="1" applyBorder="1" applyAlignment="1">
      <alignment horizontal="center" shrinkToFit="1"/>
    </xf>
    <xf numFmtId="165" fontId="16" fillId="3" borderId="133" xfId="0" quotePrefix="1" applyNumberFormat="1" applyFont="1" applyFill="1" applyBorder="1" applyAlignment="1">
      <alignment horizontal="center" shrinkToFit="1"/>
    </xf>
    <xf numFmtId="165" fontId="16" fillId="3" borderId="100" xfId="0" quotePrefix="1" applyNumberFormat="1" applyFont="1" applyFill="1" applyBorder="1" applyAlignment="1">
      <alignment horizontal="center" shrinkToFit="1"/>
    </xf>
    <xf numFmtId="165" fontId="16" fillId="3" borderId="6" xfId="0" quotePrefix="1" applyNumberFormat="1" applyFont="1" applyFill="1" applyBorder="1" applyAlignment="1">
      <alignment horizontal="center" shrinkToFit="1"/>
    </xf>
    <xf numFmtId="165" fontId="16" fillId="3" borderId="143" xfId="0" quotePrefix="1" applyNumberFormat="1" applyFont="1" applyFill="1" applyBorder="1" applyAlignment="1">
      <alignment horizontal="center" shrinkToFit="1"/>
    </xf>
    <xf numFmtId="165" fontId="16" fillId="3" borderId="6" xfId="0" applyNumberFormat="1" applyFont="1" applyFill="1" applyBorder="1" applyAlignment="1">
      <alignment horizontal="center" shrinkToFit="1"/>
    </xf>
    <xf numFmtId="165" fontId="16" fillId="3" borderId="20" xfId="0" quotePrefix="1" applyNumberFormat="1" applyFont="1" applyFill="1" applyBorder="1" applyAlignment="1">
      <alignment horizontal="center" shrinkToFit="1"/>
    </xf>
    <xf numFmtId="44" fontId="49" fillId="12" borderId="163" xfId="1" applyFont="1" applyFill="1" applyBorder="1" applyAlignment="1">
      <alignment vertical="center" shrinkToFit="1"/>
    </xf>
    <xf numFmtId="44" fontId="49" fillId="12" borderId="164" xfId="1" applyFont="1" applyFill="1" applyBorder="1" applyAlignment="1">
      <alignment vertical="center" shrinkToFit="1"/>
    </xf>
    <xf numFmtId="44" fontId="16" fillId="6" borderId="101" xfId="1" applyFont="1" applyFill="1" applyBorder="1" applyAlignment="1">
      <alignment vertical="center" shrinkToFit="1"/>
    </xf>
    <xf numFmtId="44" fontId="16" fillId="6" borderId="146" xfId="1" applyFont="1" applyFill="1" applyBorder="1" applyAlignment="1">
      <alignment vertical="center" shrinkToFit="1"/>
    </xf>
    <xf numFmtId="44" fontId="16" fillId="6" borderId="13" xfId="1" applyFont="1" applyFill="1" applyBorder="1" applyAlignment="1">
      <alignment vertical="center" shrinkToFit="1"/>
    </xf>
    <xf numFmtId="44" fontId="16" fillId="6" borderId="140" xfId="1" applyFont="1" applyFill="1" applyBorder="1" applyAlignment="1">
      <alignment vertical="center" shrinkToFit="1"/>
    </xf>
    <xf numFmtId="44" fontId="38" fillId="6" borderId="101" xfId="1" applyFont="1" applyFill="1" applyBorder="1" applyAlignment="1">
      <alignment vertical="center" shrinkToFit="1"/>
    </xf>
    <xf numFmtId="44" fontId="38" fillId="6" borderId="13" xfId="1" applyFont="1" applyFill="1" applyBorder="1" applyAlignment="1">
      <alignment vertical="center" shrinkToFit="1"/>
    </xf>
    <xf numFmtId="44" fontId="38" fillId="6" borderId="140" xfId="1" applyFont="1" applyFill="1" applyBorder="1" applyAlignment="1">
      <alignment vertical="center" shrinkToFit="1"/>
    </xf>
    <xf numFmtId="0" fontId="13" fillId="6" borderId="222" xfId="0" applyFont="1" applyFill="1" applyBorder="1" applyAlignment="1">
      <alignment horizontal="right" vertical="center"/>
    </xf>
    <xf numFmtId="165" fontId="13" fillId="10" borderId="127" xfId="0" applyNumberFormat="1" applyFont="1" applyFill="1" applyBorder="1" applyAlignment="1">
      <alignment horizontal="center" vertical="center"/>
    </xf>
    <xf numFmtId="44" fontId="49" fillId="12" borderId="44" xfId="1" applyFont="1" applyFill="1" applyBorder="1" applyAlignment="1">
      <alignment vertical="center" shrinkToFit="1"/>
    </xf>
    <xf numFmtId="44" fontId="49" fillId="12" borderId="133" xfId="1" applyFont="1" applyFill="1" applyBorder="1" applyAlignment="1">
      <alignment vertical="center" shrinkToFit="1"/>
    </xf>
    <xf numFmtId="165" fontId="16" fillId="6" borderId="130" xfId="1" applyNumberFormat="1" applyFont="1" applyFill="1" applyBorder="1" applyAlignment="1">
      <alignment horizontal="center" vertical="center" shrinkToFit="1"/>
    </xf>
    <xf numFmtId="165" fontId="16" fillId="6" borderId="148" xfId="1" applyNumberFormat="1" applyFont="1" applyFill="1" applyBorder="1" applyAlignment="1">
      <alignment horizontal="center" vertical="center" shrinkToFit="1"/>
    </xf>
    <xf numFmtId="165" fontId="16" fillId="6" borderId="128" xfId="1" applyNumberFormat="1" applyFont="1" applyFill="1" applyBorder="1" applyAlignment="1">
      <alignment horizontal="center" vertical="center" shrinkToFit="1"/>
    </xf>
    <xf numFmtId="165" fontId="16" fillId="6" borderId="129" xfId="1" applyNumberFormat="1" applyFont="1" applyFill="1" applyBorder="1" applyAlignment="1">
      <alignment horizontal="center" vertical="center" shrinkToFit="1"/>
    </xf>
    <xf numFmtId="165" fontId="16" fillId="6" borderId="214" xfId="1" applyNumberFormat="1" applyFont="1" applyFill="1" applyBorder="1" applyAlignment="1">
      <alignment horizontal="center" vertical="center" shrinkToFit="1"/>
    </xf>
    <xf numFmtId="165" fontId="16" fillId="6" borderId="213" xfId="1" applyNumberFormat="1" applyFont="1" applyFill="1" applyBorder="1" applyAlignment="1">
      <alignment horizontal="center" vertical="center" shrinkToFit="1"/>
    </xf>
    <xf numFmtId="165" fontId="16" fillId="6" borderId="209" xfId="1" applyNumberFormat="1" applyFont="1" applyFill="1" applyBorder="1" applyAlignment="1">
      <alignment horizontal="center" vertical="center" shrinkToFit="1"/>
    </xf>
    <xf numFmtId="165" fontId="16" fillId="6" borderId="210" xfId="1" applyNumberFormat="1" applyFont="1" applyFill="1" applyBorder="1" applyAlignment="1">
      <alignment horizontal="center" vertical="center" shrinkToFit="1"/>
    </xf>
    <xf numFmtId="165" fontId="16" fillId="6" borderId="211" xfId="1" applyNumberFormat="1" applyFont="1" applyFill="1" applyBorder="1" applyAlignment="1">
      <alignment horizontal="center" vertical="center" shrinkToFit="1"/>
    </xf>
    <xf numFmtId="165" fontId="16" fillId="6" borderId="212" xfId="1" applyNumberFormat="1" applyFont="1" applyFill="1" applyBorder="1" applyAlignment="1">
      <alignment horizontal="center" vertical="center" shrinkToFit="1"/>
    </xf>
    <xf numFmtId="165" fontId="16" fillId="6" borderId="223" xfId="1" applyNumberFormat="1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13" fillId="6" borderId="41" xfId="0" applyFont="1" applyFill="1" applyBorder="1" applyAlignment="1">
      <alignment horizontal="right" vertical="center"/>
    </xf>
    <xf numFmtId="165" fontId="13" fillId="10" borderId="181" xfId="0" applyNumberFormat="1" applyFont="1" applyFill="1" applyBorder="1" applyAlignment="1">
      <alignment horizontal="center" vertical="center"/>
    </xf>
    <xf numFmtId="44" fontId="16" fillId="6" borderId="182" xfId="1" applyFont="1" applyFill="1" applyBorder="1" applyAlignment="1">
      <alignment horizontal="center" vertical="center" shrinkToFit="1"/>
    </xf>
    <xf numFmtId="44" fontId="16" fillId="6" borderId="198" xfId="1" applyFont="1" applyFill="1" applyBorder="1" applyAlignment="1">
      <alignment horizontal="center" vertical="center" shrinkToFit="1"/>
    </xf>
    <xf numFmtId="44" fontId="16" fillId="6" borderId="200" xfId="1" applyFont="1" applyFill="1" applyBorder="1" applyAlignment="1">
      <alignment horizontal="center" vertical="center" shrinkToFit="1"/>
    </xf>
    <xf numFmtId="44" fontId="16" fillId="6" borderId="183" xfId="1" applyFont="1" applyFill="1" applyBorder="1" applyAlignment="1">
      <alignment horizontal="center" vertical="center" shrinkToFit="1"/>
    </xf>
    <xf numFmtId="44" fontId="16" fillId="6" borderId="186" xfId="1" applyFont="1" applyFill="1" applyBorder="1" applyAlignment="1">
      <alignment horizontal="center" vertical="center" shrinkToFit="1"/>
    </xf>
    <xf numFmtId="44" fontId="16" fillId="6" borderId="184" xfId="1" applyFont="1" applyFill="1" applyBorder="1" applyAlignment="1">
      <alignment horizontal="center" vertical="center" shrinkToFit="1"/>
    </xf>
    <xf numFmtId="0" fontId="13" fillId="6" borderId="63" xfId="0" applyFont="1" applyFill="1" applyBorder="1" applyAlignment="1">
      <alignment horizontal="right" vertical="center"/>
    </xf>
    <xf numFmtId="165" fontId="13" fillId="10" borderId="40" xfId="0" applyNumberFormat="1" applyFont="1" applyFill="1" applyBorder="1" applyAlignment="1">
      <alignment horizontal="center" vertical="center"/>
    </xf>
    <xf numFmtId="44" fontId="54" fillId="12" borderId="50" xfId="1" applyFont="1" applyFill="1" applyBorder="1" applyAlignment="1">
      <alignment vertical="center" shrinkToFit="1"/>
    </xf>
    <xf numFmtId="44" fontId="54" fillId="12" borderId="14" xfId="1" applyFont="1" applyFill="1" applyBorder="1" applyAlignment="1">
      <alignment vertical="center" shrinkToFit="1"/>
    </xf>
    <xf numFmtId="165" fontId="16" fillId="6" borderId="204" xfId="1" applyNumberFormat="1" applyFont="1" applyFill="1" applyBorder="1" applyAlignment="1">
      <alignment horizontal="center" vertical="center" shrinkToFit="1"/>
    </xf>
    <xf numFmtId="165" fontId="16" fillId="6" borderId="15" xfId="1" applyNumberFormat="1" applyFont="1" applyFill="1" applyBorder="1" applyAlignment="1">
      <alignment horizontal="center" vertical="center" shrinkToFit="1"/>
    </xf>
    <xf numFmtId="165" fontId="16" fillId="6" borderId="13" xfId="1" applyNumberFormat="1" applyFont="1" applyFill="1" applyBorder="1" applyAlignment="1">
      <alignment horizontal="center" vertical="center" shrinkToFit="1"/>
    </xf>
    <xf numFmtId="165" fontId="16" fillId="6" borderId="18" xfId="1" applyNumberFormat="1" applyFont="1" applyFill="1" applyBorder="1" applyAlignment="1">
      <alignment horizontal="center" vertical="center" shrinkToFit="1"/>
    </xf>
    <xf numFmtId="0" fontId="13" fillId="6" borderId="55" xfId="0" applyFont="1" applyFill="1" applyBorder="1" applyAlignment="1">
      <alignment horizontal="right" vertical="center"/>
    </xf>
    <xf numFmtId="165" fontId="13" fillId="10" borderId="201" xfId="0" applyNumberFormat="1" applyFont="1" applyFill="1" applyBorder="1" applyAlignment="1">
      <alignment horizontal="center" vertical="center"/>
    </xf>
    <xf numFmtId="44" fontId="16" fillId="6" borderId="199" xfId="1" applyFont="1" applyFill="1" applyBorder="1" applyAlignment="1">
      <alignment vertical="center" shrinkToFit="1"/>
    </xf>
    <xf numFmtId="44" fontId="16" fillId="6" borderId="88" xfId="1" applyFont="1" applyFill="1" applyBorder="1" applyAlignment="1">
      <alignment vertical="center" shrinkToFit="1"/>
    </xf>
    <xf numFmtId="44" fontId="16" fillId="6" borderId="185" xfId="1" applyFont="1" applyFill="1" applyBorder="1" applyAlignment="1">
      <alignment vertical="center" shrinkToFit="1"/>
    </xf>
    <xf numFmtId="44" fontId="16" fillId="6" borderId="79" xfId="1" applyFont="1" applyFill="1" applyBorder="1" applyAlignment="1">
      <alignment vertical="center" shrinkToFit="1"/>
    </xf>
    <xf numFmtId="44" fontId="16" fillId="6" borderId="187" xfId="1" applyFont="1" applyFill="1" applyBorder="1" applyAlignment="1">
      <alignment vertical="center" shrinkToFit="1"/>
    </xf>
    <xf numFmtId="44" fontId="16" fillId="6" borderId="96" xfId="1" applyFont="1" applyFill="1" applyBorder="1" applyAlignment="1">
      <alignment vertical="center" shrinkToFit="1"/>
    </xf>
    <xf numFmtId="165" fontId="13" fillId="10" borderId="37" xfId="0" applyNumberFormat="1" applyFont="1" applyFill="1" applyBorder="1" applyAlignment="1">
      <alignment horizontal="center" vertical="center"/>
    </xf>
    <xf numFmtId="44" fontId="36" fillId="12" borderId="176" xfId="1" applyFont="1" applyFill="1" applyBorder="1" applyAlignment="1">
      <alignment vertical="center" shrinkToFit="1"/>
    </xf>
    <xf numFmtId="44" fontId="36" fillId="12" borderId="177" xfId="1" applyFont="1" applyFill="1" applyBorder="1" applyAlignment="1">
      <alignment vertical="center" shrinkToFit="1"/>
    </xf>
    <xf numFmtId="44" fontId="6" fillId="6" borderId="38" xfId="1" applyFont="1" applyFill="1" applyBorder="1" applyAlignment="1">
      <alignment horizontal="center" vertical="center" shrinkToFit="1"/>
    </xf>
    <xf numFmtId="44" fontId="6" fillId="6" borderId="178" xfId="1" applyFont="1" applyFill="1" applyBorder="1" applyAlignment="1">
      <alignment horizontal="center" vertical="center" shrinkToFit="1"/>
    </xf>
    <xf numFmtId="44" fontId="6" fillId="6" borderId="179" xfId="1" applyFont="1" applyFill="1" applyBorder="1" applyAlignment="1">
      <alignment horizontal="center" vertical="center" shrinkToFit="1"/>
    </xf>
    <xf numFmtId="0" fontId="13" fillId="6" borderId="54" xfId="0" applyFont="1" applyFill="1" applyBorder="1" applyAlignment="1">
      <alignment horizontal="right" vertical="center"/>
    </xf>
    <xf numFmtId="165" fontId="13" fillId="10" borderId="202" xfId="1" applyNumberFormat="1" applyFont="1" applyFill="1" applyBorder="1" applyAlignment="1">
      <alignment horizontal="center" vertical="center"/>
    </xf>
    <xf numFmtId="165" fontId="6" fillId="6" borderId="204" xfId="1" applyNumberFormat="1" applyFont="1" applyFill="1" applyBorder="1" applyAlignment="1">
      <alignment horizontal="center" vertical="center" shrinkToFit="1"/>
    </xf>
    <xf numFmtId="165" fontId="37" fillId="6" borderId="1" xfId="1" applyNumberFormat="1" applyFont="1" applyFill="1" applyBorder="1" applyAlignment="1">
      <alignment horizontal="center" vertical="center" shrinkToFit="1"/>
    </xf>
    <xf numFmtId="165" fontId="37" fillId="6" borderId="180" xfId="1" applyNumberFormat="1" applyFont="1" applyFill="1" applyBorder="1" applyAlignment="1">
      <alignment horizontal="center" vertical="center" shrinkToFit="1"/>
    </xf>
    <xf numFmtId="165" fontId="37" fillId="6" borderId="204" xfId="1" applyNumberFormat="1" applyFont="1" applyFill="1" applyBorder="1" applyAlignment="1">
      <alignment horizontal="center" vertical="center" shrinkToFit="1"/>
    </xf>
    <xf numFmtId="165" fontId="6" fillId="6" borderId="205" xfId="1" applyNumberFormat="1" applyFont="1" applyFill="1" applyBorder="1" applyAlignment="1">
      <alignment horizontal="center" vertical="center" shrinkToFit="1"/>
    </xf>
    <xf numFmtId="165" fontId="6" fillId="6" borderId="1" xfId="1" applyNumberFormat="1" applyFont="1" applyFill="1" applyBorder="1" applyAlignment="1">
      <alignment horizontal="center" vertical="center" shrinkToFit="1"/>
    </xf>
    <xf numFmtId="165" fontId="6" fillId="6" borderId="206" xfId="1" applyNumberFormat="1" applyFont="1" applyFill="1" applyBorder="1" applyAlignment="1">
      <alignment horizontal="center" vertical="center" shrinkToFit="1"/>
    </xf>
    <xf numFmtId="44" fontId="6" fillId="6" borderId="135" xfId="1" applyFont="1" applyFill="1" applyBorder="1" applyAlignment="1">
      <alignment vertical="center" shrinkToFit="1"/>
    </xf>
    <xf numFmtId="44" fontId="37" fillId="6" borderId="16" xfId="1" applyFont="1" applyFill="1" applyBorder="1" applyAlignment="1">
      <alignment vertical="center" shrinkToFit="1"/>
    </xf>
    <xf numFmtId="44" fontId="37" fillId="6" borderId="17" xfId="1" applyFont="1" applyFill="1" applyBorder="1" applyAlignment="1">
      <alignment vertical="center" shrinkToFit="1"/>
    </xf>
    <xf numFmtId="44" fontId="6" fillId="6" borderId="17" xfId="1" applyFont="1" applyFill="1" applyBorder="1" applyAlignment="1">
      <alignment vertical="center" shrinkToFit="1"/>
    </xf>
    <xf numFmtId="44" fontId="6" fillId="6" borderId="154" xfId="1" applyFont="1" applyFill="1" applyBorder="1" applyAlignment="1">
      <alignment vertical="center" shrinkToFit="1"/>
    </xf>
    <xf numFmtId="44" fontId="37" fillId="6" borderId="108" xfId="1" applyFont="1" applyFill="1" applyBorder="1" applyAlignment="1">
      <alignment vertical="center" shrinkToFit="1"/>
    </xf>
    <xf numFmtId="44" fontId="37" fillId="6" borderId="92" xfId="1" applyFont="1" applyFill="1" applyBorder="1" applyAlignment="1">
      <alignment vertical="center" shrinkToFit="1"/>
    </xf>
    <xf numFmtId="44" fontId="6" fillId="6" borderId="92" xfId="1" applyFont="1" applyFill="1" applyBorder="1" applyAlignment="1">
      <alignment horizontal="center" vertical="center" shrinkToFit="1"/>
    </xf>
    <xf numFmtId="44" fontId="6" fillId="6" borderId="107" xfId="1" applyFont="1" applyFill="1" applyBorder="1" applyAlignment="1">
      <alignment horizontal="center" vertical="center" shrinkToFit="1"/>
    </xf>
    <xf numFmtId="44" fontId="6" fillId="6" borderId="99" xfId="1" applyFont="1" applyFill="1" applyBorder="1" applyAlignment="1">
      <alignment horizontal="center" vertical="center" shrinkToFit="1"/>
    </xf>
    <xf numFmtId="44" fontId="6" fillId="3" borderId="44" xfId="0" quotePrefix="1" applyNumberFormat="1" applyFont="1" applyFill="1" applyBorder="1" applyAlignment="1">
      <alignment horizontal="center" vertical="center" shrinkToFit="1"/>
    </xf>
    <xf numFmtId="44" fontId="6" fillId="3" borderId="6" xfId="0" quotePrefix="1" applyNumberFormat="1" applyFont="1" applyFill="1" applyBorder="1" applyAlignment="1">
      <alignment horizontal="center" vertical="center" shrinkToFit="1"/>
    </xf>
    <xf numFmtId="44" fontId="6" fillId="3" borderId="133" xfId="0" quotePrefix="1" applyNumberFormat="1" applyFont="1" applyFill="1" applyBorder="1" applyAlignment="1">
      <alignment horizontal="center" vertical="center" shrinkToFit="1"/>
    </xf>
    <xf numFmtId="44" fontId="6" fillId="3" borderId="20" xfId="0" quotePrefix="1" applyNumberFormat="1" applyFont="1" applyFill="1" applyBorder="1" applyAlignment="1">
      <alignment horizontal="center" vertical="center" shrinkToFit="1"/>
    </xf>
    <xf numFmtId="44" fontId="16" fillId="3" borderId="44" xfId="0" quotePrefix="1" applyNumberFormat="1" applyFont="1" applyFill="1" applyBorder="1" applyAlignment="1">
      <alignment horizontal="right" vertical="center" shrinkToFit="1"/>
    </xf>
    <xf numFmtId="44" fontId="16" fillId="3" borderId="133" xfId="0" quotePrefix="1" applyNumberFormat="1" applyFont="1" applyFill="1" applyBorder="1" applyAlignment="1">
      <alignment horizontal="right" vertical="center" shrinkToFit="1"/>
    </xf>
    <xf numFmtId="44" fontId="16" fillId="3" borderId="100" xfId="0" quotePrefix="1" applyNumberFormat="1" applyFont="1" applyFill="1" applyBorder="1" applyAlignment="1">
      <alignment horizontal="right" vertical="center" shrinkToFit="1"/>
    </xf>
    <xf numFmtId="44" fontId="16" fillId="3" borderId="6" xfId="0" quotePrefix="1" applyNumberFormat="1" applyFont="1" applyFill="1" applyBorder="1" applyAlignment="1">
      <alignment horizontal="right" vertical="center" shrinkToFit="1"/>
    </xf>
    <xf numFmtId="44" fontId="16" fillId="3" borderId="29" xfId="0" quotePrefix="1" applyNumberFormat="1" applyFont="1" applyFill="1" applyBorder="1" applyAlignment="1">
      <alignment horizontal="right" vertical="center" shrinkToFit="1"/>
    </xf>
    <xf numFmtId="44" fontId="16" fillId="3" borderId="20" xfId="0" quotePrefix="1" applyNumberFormat="1" applyFont="1" applyFill="1" applyBorder="1" applyAlignment="1">
      <alignment horizontal="right" vertical="center" shrinkToFit="1"/>
    </xf>
    <xf numFmtId="0" fontId="15" fillId="0" borderId="0" xfId="0" applyFont="1" applyAlignment="1">
      <alignment vertical="center" shrinkToFit="1"/>
    </xf>
    <xf numFmtId="165" fontId="46" fillId="0" borderId="0" xfId="0" applyNumberFormat="1" applyFont="1" applyAlignment="1">
      <alignment horizontal="right"/>
    </xf>
    <xf numFmtId="165" fontId="14" fillId="0" borderId="0" xfId="0" applyNumberFormat="1" applyFont="1" applyAlignment="1">
      <alignment horizontal="right"/>
    </xf>
    <xf numFmtId="44" fontId="15" fillId="0" borderId="0" xfId="0" applyNumberFormat="1" applyFont="1" applyAlignment="1">
      <alignment shrinkToFit="1"/>
    </xf>
    <xf numFmtId="44" fontId="59" fillId="0" borderId="0" xfId="0" applyNumberFormat="1" applyFont="1" applyAlignment="1">
      <alignment shrinkToFit="1"/>
    </xf>
    <xf numFmtId="44" fontId="40" fillId="0" borderId="0" xfId="1" applyFont="1" applyAlignment="1">
      <alignment shrinkToFit="1"/>
    </xf>
    <xf numFmtId="44" fontId="50" fillId="0" borderId="0" xfId="0" applyNumberFormat="1" applyFont="1" applyAlignment="1">
      <alignment shrinkToFit="1"/>
    </xf>
    <xf numFmtId="0" fontId="3" fillId="0" borderId="152" xfId="0" applyFont="1" applyBorder="1" applyAlignment="1" applyProtection="1">
      <alignment horizontal="center"/>
      <protection locked="0"/>
    </xf>
    <xf numFmtId="0" fontId="3" fillId="0" borderId="153" xfId="0" applyFont="1" applyBorder="1" applyAlignment="1" applyProtection="1">
      <alignment horizontal="center"/>
      <protection locked="0"/>
    </xf>
    <xf numFmtId="0" fontId="4" fillId="2" borderId="152" xfId="0" applyFont="1" applyFill="1" applyBorder="1" applyAlignment="1" applyProtection="1">
      <alignment horizontal="center"/>
      <protection locked="0"/>
    </xf>
    <xf numFmtId="0" fontId="4" fillId="4" borderId="151" xfId="0" applyFont="1" applyFill="1" applyBorder="1" applyAlignment="1" applyProtection="1">
      <alignment horizontal="center"/>
      <protection locked="0"/>
    </xf>
    <xf numFmtId="0" fontId="44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44" fontId="41" fillId="0" borderId="6" xfId="1" applyFont="1" applyBorder="1" applyAlignment="1">
      <alignment shrinkToFit="1"/>
    </xf>
    <xf numFmtId="165" fontId="3" fillId="0" borderId="0" xfId="0" applyNumberFormat="1" applyFont="1"/>
    <xf numFmtId="0" fontId="4" fillId="0" borderId="0" xfId="0" applyFont="1"/>
    <xf numFmtId="165" fontId="30" fillId="0" borderId="0" xfId="0" applyNumberFormat="1" applyFont="1" applyAlignment="1">
      <alignment horizontal="center" shrinkToFit="1"/>
    </xf>
    <xf numFmtId="0" fontId="60" fillId="0" borderId="0" xfId="0" applyFont="1" applyAlignment="1">
      <alignment horizontal="center"/>
    </xf>
    <xf numFmtId="165" fontId="61" fillId="0" borderId="0" xfId="0" applyNumberFormat="1" applyFont="1" applyAlignment="1">
      <alignment horizontal="center"/>
    </xf>
    <xf numFmtId="165" fontId="60" fillId="0" borderId="0" xfId="0" applyNumberFormat="1" applyFont="1" applyAlignment="1">
      <alignment horizontal="center" shrinkToFit="1"/>
    </xf>
    <xf numFmtId="0" fontId="40" fillId="0" borderId="0" xfId="0" applyFont="1" applyAlignment="1">
      <alignment horizontal="center" vertical="center"/>
    </xf>
    <xf numFmtId="0" fontId="37" fillId="3" borderId="235" xfId="0" applyFont="1" applyFill="1" applyBorder="1" applyAlignment="1">
      <alignment horizontal="center"/>
    </xf>
    <xf numFmtId="0" fontId="37" fillId="3" borderId="17" xfId="0" applyFont="1" applyFill="1" applyBorder="1" applyAlignment="1">
      <alignment horizontal="center"/>
    </xf>
    <xf numFmtId="0" fontId="37" fillId="3" borderId="154" xfId="0" applyFont="1" applyFill="1" applyBorder="1" applyAlignment="1">
      <alignment horizontal="center"/>
    </xf>
    <xf numFmtId="0" fontId="37" fillId="3" borderId="202" xfId="0" applyFont="1" applyFill="1" applyBorder="1" applyAlignment="1">
      <alignment horizontal="left"/>
    </xf>
    <xf numFmtId="0" fontId="37" fillId="3" borderId="236" xfId="0" applyFont="1" applyFill="1" applyBorder="1" applyAlignment="1">
      <alignment horizontal="center"/>
    </xf>
    <xf numFmtId="0" fontId="62" fillId="0" borderId="0" xfId="0" applyFont="1" applyAlignment="1">
      <alignment horizontal="center"/>
    </xf>
    <xf numFmtId="164" fontId="64" fillId="0" borderId="233" xfId="0" applyNumberFormat="1" applyFont="1" applyBorder="1" applyAlignment="1">
      <alignment horizontal="center"/>
    </xf>
    <xf numFmtId="164" fontId="64" fillId="0" borderId="8" xfId="0" applyNumberFormat="1" applyFont="1" applyBorder="1" applyAlignment="1">
      <alignment horizontal="center"/>
    </xf>
    <xf numFmtId="164" fontId="64" fillId="0" borderId="9" xfId="0" applyNumberFormat="1" applyFont="1" applyBorder="1" applyAlignment="1">
      <alignment horizontal="center"/>
    </xf>
    <xf numFmtId="164" fontId="64" fillId="7" borderId="233" xfId="0" applyNumberFormat="1" applyFont="1" applyFill="1" applyBorder="1" applyAlignment="1">
      <alignment horizontal="center"/>
    </xf>
    <xf numFmtId="164" fontId="64" fillId="7" borderId="9" xfId="0" applyNumberFormat="1" applyFont="1" applyFill="1" applyBorder="1" applyAlignment="1">
      <alignment horizontal="center"/>
    </xf>
    <xf numFmtId="0" fontId="63" fillId="0" borderId="233" xfId="0" applyFont="1" applyBorder="1" applyAlignment="1">
      <alignment horizontal="left"/>
    </xf>
    <xf numFmtId="0" fontId="63" fillId="0" borderId="234" xfId="0" applyFont="1" applyBorder="1" applyAlignment="1">
      <alignment horizontal="center"/>
    </xf>
    <xf numFmtId="164" fontId="64" fillId="0" borderId="225" xfId="0" applyNumberFormat="1" applyFont="1" applyBorder="1" applyAlignment="1">
      <alignment horizontal="center"/>
    </xf>
    <xf numFmtId="164" fontId="64" fillId="0" borderId="7" xfId="0" applyNumberFormat="1" applyFont="1" applyBorder="1" applyAlignment="1">
      <alignment horizontal="center"/>
    </xf>
    <xf numFmtId="164" fontId="64" fillId="0" borderId="12" xfId="0" applyNumberFormat="1" applyFont="1" applyBorder="1" applyAlignment="1">
      <alignment horizontal="center"/>
    </xf>
    <xf numFmtId="164" fontId="64" fillId="7" borderId="225" xfId="0" applyNumberFormat="1" applyFont="1" applyFill="1" applyBorder="1" applyAlignment="1">
      <alignment horizontal="center"/>
    </xf>
    <xf numFmtId="164" fontId="64" fillId="7" borderId="12" xfId="0" applyNumberFormat="1" applyFont="1" applyFill="1" applyBorder="1" applyAlignment="1">
      <alignment horizontal="center"/>
    </xf>
    <xf numFmtId="0" fontId="63" fillId="0" borderId="225" xfId="0" applyFont="1" applyBorder="1" applyAlignment="1">
      <alignment horizontal="left"/>
    </xf>
    <xf numFmtId="0" fontId="63" fillId="0" borderId="226" xfId="0" applyFont="1" applyBorder="1" applyAlignment="1">
      <alignment horizontal="center"/>
    </xf>
    <xf numFmtId="0" fontId="62" fillId="0" borderId="225" xfId="0" applyFont="1" applyBorder="1" applyAlignment="1">
      <alignment horizontal="left"/>
    </xf>
    <xf numFmtId="0" fontId="62" fillId="0" borderId="226" xfId="0" applyFont="1" applyBorder="1" applyAlignment="1">
      <alignment horizontal="center"/>
    </xf>
    <xf numFmtId="0" fontId="65" fillId="0" borderId="226" xfId="0" applyFont="1" applyBorder="1" applyAlignment="1">
      <alignment horizontal="center"/>
    </xf>
    <xf numFmtId="164" fontId="64" fillId="0" borderId="238" xfId="0" applyNumberFormat="1" applyFont="1" applyBorder="1" applyAlignment="1">
      <alignment horizontal="center"/>
    </xf>
    <xf numFmtId="164" fontId="64" fillId="0" borderId="29" xfId="0" applyNumberFormat="1" applyFont="1" applyBorder="1" applyAlignment="1">
      <alignment horizontal="center"/>
    </xf>
    <xf numFmtId="164" fontId="64" fillId="0" borderId="30" xfId="0" applyNumberFormat="1" applyFont="1" applyBorder="1" applyAlignment="1">
      <alignment horizontal="center"/>
    </xf>
    <xf numFmtId="164" fontId="64" fillId="7" borderId="238" xfId="0" applyNumberFormat="1" applyFont="1" applyFill="1" applyBorder="1" applyAlignment="1">
      <alignment horizontal="center"/>
    </xf>
    <xf numFmtId="164" fontId="64" fillId="7" borderId="30" xfId="0" applyNumberFormat="1" applyFont="1" applyFill="1" applyBorder="1" applyAlignment="1">
      <alignment horizontal="center"/>
    </xf>
    <xf numFmtId="164" fontId="64" fillId="0" borderId="239" xfId="0" applyNumberFormat="1" applyFont="1" applyBorder="1" applyAlignment="1">
      <alignment horizontal="center"/>
    </xf>
    <xf numFmtId="164" fontId="64" fillId="0" borderId="240" xfId="0" applyNumberFormat="1" applyFont="1" applyBorder="1" applyAlignment="1">
      <alignment horizontal="center"/>
    </xf>
    <xf numFmtId="164" fontId="64" fillId="0" borderId="241" xfId="0" applyNumberFormat="1" applyFont="1" applyBorder="1" applyAlignment="1">
      <alignment horizontal="center"/>
    </xf>
    <xf numFmtId="164" fontId="64" fillId="0" borderId="242" xfId="0" applyNumberFormat="1" applyFont="1" applyBorder="1" applyAlignment="1">
      <alignment horizontal="center"/>
    </xf>
    <xf numFmtId="164" fontId="64" fillId="0" borderId="243" xfId="0" applyNumberFormat="1" applyFont="1" applyBorder="1" applyAlignment="1">
      <alignment horizontal="center"/>
    </xf>
    <xf numFmtId="164" fontId="64" fillId="0" borderId="244" xfId="0" applyNumberFormat="1" applyFont="1" applyBorder="1" applyAlignment="1">
      <alignment horizontal="center"/>
    </xf>
    <xf numFmtId="164" fontId="64" fillId="0" borderId="227" xfId="0" applyNumberFormat="1" applyFont="1" applyBorder="1" applyAlignment="1">
      <alignment horizontal="center"/>
    </xf>
    <xf numFmtId="164" fontId="64" fillId="0" borderId="133" xfId="0" applyNumberFormat="1" applyFont="1" applyBorder="1" applyAlignment="1">
      <alignment horizontal="center"/>
    </xf>
    <xf numFmtId="0" fontId="62" fillId="0" borderId="227" xfId="0" applyFont="1" applyBorder="1" applyAlignment="1">
      <alignment horizontal="left"/>
    </xf>
    <xf numFmtId="0" fontId="62" fillId="0" borderId="228" xfId="0" applyFont="1" applyBorder="1" applyAlignment="1">
      <alignment horizontal="center"/>
    </xf>
    <xf numFmtId="0" fontId="62" fillId="0" borderId="0" xfId="0" applyFont="1" applyAlignment="1">
      <alignment horizontal="left"/>
    </xf>
    <xf numFmtId="0" fontId="5" fillId="3" borderId="0" xfId="0" applyFont="1" applyFill="1" applyAlignment="1">
      <alignment horizontal="center"/>
    </xf>
    <xf numFmtId="0" fontId="53" fillId="3" borderId="0" xfId="0" applyFont="1" applyFill="1" applyAlignment="1">
      <alignment horizontal="center"/>
    </xf>
    <xf numFmtId="44" fontId="6" fillId="3" borderId="47" xfId="1" applyFont="1" applyFill="1" applyBorder="1" applyAlignment="1">
      <alignment horizontal="right" shrinkToFit="1"/>
    </xf>
    <xf numFmtId="44" fontId="6" fillId="3" borderId="36" xfId="1" applyFont="1" applyFill="1" applyBorder="1" applyAlignment="1">
      <alignment horizontal="right" shrinkToFit="1"/>
    </xf>
    <xf numFmtId="44" fontId="4" fillId="0" borderId="0" xfId="1" applyFont="1" applyAlignment="1">
      <alignment horizontal="right" shrinkToFit="1"/>
    </xf>
    <xf numFmtId="44" fontId="6" fillId="5" borderId="0" xfId="1" applyFont="1" applyFill="1" applyBorder="1" applyAlignment="1">
      <alignment horizontal="right" shrinkToFit="1"/>
    </xf>
    <xf numFmtId="0" fontId="4" fillId="7" borderId="56" xfId="0" applyFont="1" applyFill="1" applyBorder="1" applyAlignment="1">
      <alignment horizontal="right" vertical="center"/>
    </xf>
    <xf numFmtId="0" fontId="4" fillId="7" borderId="57" xfId="0" applyFont="1" applyFill="1" applyBorder="1" applyAlignment="1">
      <alignment horizontal="right" vertical="center"/>
    </xf>
    <xf numFmtId="0" fontId="4" fillId="7" borderId="59" xfId="0" applyFont="1" applyFill="1" applyBorder="1" applyAlignment="1">
      <alignment horizontal="right" vertical="center"/>
    </xf>
    <xf numFmtId="0" fontId="4" fillId="7" borderId="42" xfId="0" applyFont="1" applyFill="1" applyBorder="1" applyAlignment="1">
      <alignment horizontal="right" vertical="center"/>
    </xf>
    <xf numFmtId="0" fontId="9" fillId="0" borderId="46" xfId="0" applyFont="1" applyBorder="1" applyAlignment="1">
      <alignment horizontal="right"/>
    </xf>
    <xf numFmtId="0" fontId="9" fillId="0" borderId="23" xfId="0" applyFont="1" applyBorder="1" applyAlignment="1">
      <alignment horizontal="right"/>
    </xf>
    <xf numFmtId="0" fontId="26" fillId="11" borderId="71" xfId="0" applyFont="1" applyFill="1" applyBorder="1" applyAlignment="1">
      <alignment horizontal="right" vertical="center"/>
    </xf>
    <xf numFmtId="0" fontId="26" fillId="11" borderId="89" xfId="0" applyFont="1" applyFill="1" applyBorder="1" applyAlignment="1">
      <alignment horizontal="right" vertical="center"/>
    </xf>
    <xf numFmtId="0" fontId="9" fillId="7" borderId="48" xfId="0" applyFont="1" applyFill="1" applyBorder="1" applyAlignment="1">
      <alignment horizontal="right"/>
    </xf>
    <xf numFmtId="0" fontId="9" fillId="7" borderId="22" xfId="0" applyFont="1" applyFill="1" applyBorder="1" applyAlignment="1">
      <alignment horizontal="right"/>
    </xf>
    <xf numFmtId="0" fontId="4" fillId="0" borderId="57" xfId="0" applyFont="1" applyBorder="1" applyAlignment="1">
      <alignment horizontal="right" vertical="center"/>
    </xf>
    <xf numFmtId="0" fontId="4" fillId="0" borderId="58" xfId="0" applyFont="1" applyBorder="1" applyAlignment="1">
      <alignment horizontal="right" vertical="center"/>
    </xf>
    <xf numFmtId="0" fontId="56" fillId="0" borderId="219" xfId="0" applyFont="1" applyBorder="1" applyAlignment="1">
      <alignment horizontal="right" vertical="center" textRotation="90"/>
    </xf>
    <xf numFmtId="0" fontId="56" fillId="0" borderId="220" xfId="0" applyFont="1" applyBorder="1" applyAlignment="1">
      <alignment horizontal="right" vertical="center" textRotation="90"/>
    </xf>
    <xf numFmtId="0" fontId="56" fillId="0" borderId="55" xfId="0" applyFont="1" applyBorder="1" applyAlignment="1">
      <alignment horizontal="right" vertical="center" textRotation="90"/>
    </xf>
    <xf numFmtId="44" fontId="34" fillId="0" borderId="217" xfId="1" applyFont="1" applyBorder="1" applyAlignment="1">
      <alignment horizontal="right" shrinkToFit="1"/>
    </xf>
    <xf numFmtId="44" fontId="44" fillId="0" borderId="171" xfId="1" applyFont="1" applyBorder="1" applyAlignment="1">
      <alignment horizontal="left" shrinkToFit="1"/>
    </xf>
    <xf numFmtId="44" fontId="44" fillId="0" borderId="217" xfId="1" applyFont="1" applyBorder="1" applyAlignment="1">
      <alignment horizontal="left" shrinkToFit="1"/>
    </xf>
    <xf numFmtId="0" fontId="45" fillId="11" borderId="71" xfId="0" applyFont="1" applyFill="1" applyBorder="1" applyAlignment="1">
      <alignment horizontal="right" vertical="center"/>
    </xf>
    <xf numFmtId="0" fontId="45" fillId="11" borderId="89" xfId="0" applyFont="1" applyFill="1" applyBorder="1" applyAlignment="1">
      <alignment horizontal="right" vertical="center"/>
    </xf>
    <xf numFmtId="44" fontId="13" fillId="3" borderId="47" xfId="1" applyFont="1" applyFill="1" applyBorder="1" applyAlignment="1">
      <alignment horizontal="right" shrinkToFit="1"/>
    </xf>
    <xf numFmtId="44" fontId="13" fillId="3" borderId="36" xfId="1" applyFont="1" applyFill="1" applyBorder="1" applyAlignment="1">
      <alignment horizontal="right" shrinkToFit="1"/>
    </xf>
    <xf numFmtId="44" fontId="13" fillId="3" borderId="47" xfId="1" applyFont="1" applyFill="1" applyBorder="1" applyAlignment="1">
      <alignment horizontal="right" vertical="center" shrinkToFit="1"/>
    </xf>
    <xf numFmtId="44" fontId="13" fillId="3" borderId="36" xfId="1" applyFont="1" applyFill="1" applyBorder="1" applyAlignment="1">
      <alignment horizontal="right" vertical="center" shrinkToFit="1"/>
    </xf>
    <xf numFmtId="0" fontId="4" fillId="7" borderId="56" xfId="0" applyFont="1" applyFill="1" applyBorder="1" applyAlignment="1">
      <alignment horizontal="center" vertical="center"/>
    </xf>
    <xf numFmtId="0" fontId="44" fillId="7" borderId="57" xfId="0" applyFont="1" applyFill="1" applyBorder="1" applyAlignment="1">
      <alignment horizontal="center" vertical="center"/>
    </xf>
    <xf numFmtId="0" fontId="44" fillId="7" borderId="196" xfId="0" applyFont="1" applyFill="1" applyBorder="1" applyAlignment="1">
      <alignment horizontal="center" vertical="center"/>
    </xf>
    <xf numFmtId="0" fontId="44" fillId="7" borderId="56" xfId="0" applyFont="1" applyFill="1" applyBorder="1" applyAlignment="1">
      <alignment horizontal="center" vertical="center"/>
    </xf>
    <xf numFmtId="0" fontId="44" fillId="7" borderId="42" xfId="0" applyFont="1" applyFill="1" applyBorder="1" applyAlignment="1">
      <alignment horizontal="center" vertical="center"/>
    </xf>
    <xf numFmtId="0" fontId="44" fillId="7" borderId="55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shrinkToFit="1"/>
    </xf>
    <xf numFmtId="0" fontId="9" fillId="0" borderId="168" xfId="0" applyFont="1" applyBorder="1" applyAlignment="1">
      <alignment horizontal="right"/>
    </xf>
    <xf numFmtId="0" fontId="9" fillId="7" borderId="131" xfId="0" applyFont="1" applyFill="1" applyBorder="1" applyAlignment="1">
      <alignment horizontal="right"/>
    </xf>
    <xf numFmtId="0" fontId="45" fillId="11" borderId="174" xfId="0" applyFont="1" applyFill="1" applyBorder="1" applyAlignment="1">
      <alignment horizontal="right" vertical="center"/>
    </xf>
    <xf numFmtId="0" fontId="45" fillId="11" borderId="72" xfId="0" applyFont="1" applyFill="1" applyBorder="1" applyAlignment="1">
      <alignment horizontal="right" vertical="center"/>
    </xf>
    <xf numFmtId="44" fontId="44" fillId="0" borderId="0" xfId="1" applyFont="1" applyAlignment="1">
      <alignment horizontal="right" shrinkToFit="1"/>
    </xf>
    <xf numFmtId="0" fontId="37" fillId="3" borderId="229" xfId="0" applyFont="1" applyFill="1" applyBorder="1" applyAlignment="1">
      <alignment horizontal="center" vertical="center" textRotation="90"/>
    </xf>
    <xf numFmtId="0" fontId="37" fillId="3" borderId="230" xfId="0" applyFont="1" applyFill="1" applyBorder="1" applyAlignment="1">
      <alignment horizontal="center" vertical="center" textRotation="90"/>
    </xf>
    <xf numFmtId="0" fontId="37" fillId="3" borderId="231" xfId="0" applyFont="1" applyFill="1" applyBorder="1" applyAlignment="1">
      <alignment horizontal="center" vertical="center" textRotation="90"/>
    </xf>
    <xf numFmtId="0" fontId="37" fillId="3" borderId="237" xfId="0" applyFont="1" applyFill="1" applyBorder="1" applyAlignment="1">
      <alignment horizontal="center" vertical="center" textRotation="90"/>
    </xf>
    <xf numFmtId="0" fontId="37" fillId="3" borderId="197" xfId="0" applyFont="1" applyFill="1" applyBorder="1" applyAlignment="1">
      <alignment horizontal="center" vertical="center" textRotation="90"/>
    </xf>
    <xf numFmtId="0" fontId="37" fillId="3" borderId="0" xfId="0" applyFont="1" applyFill="1" applyAlignment="1">
      <alignment horizontal="center" vertical="center" textRotation="90"/>
    </xf>
    <xf numFmtId="0" fontId="37" fillId="3" borderId="224" xfId="0" applyFont="1" applyFill="1" applyBorder="1" applyAlignment="1">
      <alignment horizontal="center" vertical="center" textRotation="90"/>
    </xf>
    <xf numFmtId="0" fontId="37" fillId="3" borderId="232" xfId="0" applyFont="1" applyFill="1" applyBorder="1" applyAlignment="1">
      <alignment horizontal="center" vertical="center" textRotation="90"/>
    </xf>
  </cellXfs>
  <cellStyles count="3">
    <cellStyle name="Currency" xfId="1" builtinId="4"/>
    <cellStyle name="Normal" xfId="0" builtinId="0"/>
    <cellStyle name="Percent" xfId="2" builtinId="5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CA61B-1DAD-4C73-A7F7-C3670E5ADEC0}">
  <dimension ref="A1:W43"/>
  <sheetViews>
    <sheetView tabSelected="1" topLeftCell="A3" zoomScale="130" zoomScaleNormal="130" workbookViewId="0">
      <selection activeCell="E37" sqref="E37"/>
    </sheetView>
  </sheetViews>
  <sheetFormatPr baseColWidth="10" defaultColWidth="9.1640625" defaultRowHeight="16"/>
  <cols>
    <col min="1" max="1" width="15.83203125" style="4" customWidth="1"/>
    <col min="2" max="3" width="10.83203125" style="154" customWidth="1"/>
    <col min="4" max="8" width="8.1640625" style="154" customWidth="1"/>
    <col min="9" max="9" width="3" style="4" customWidth="1"/>
    <col min="10" max="10" width="15.83203125" style="4" customWidth="1"/>
    <col min="11" max="12" width="10.83203125" style="4" customWidth="1"/>
    <col min="13" max="13" width="9.5" style="4" bestFit="1" customWidth="1"/>
    <col min="14" max="17" width="8.1640625" style="4" customWidth="1"/>
    <col min="18" max="16384" width="9.1640625" style="4"/>
  </cols>
  <sheetData>
    <row r="1" spans="1:23" ht="21">
      <c r="A1" s="181" t="s">
        <v>0</v>
      </c>
    </row>
    <row r="2" spans="1:23" ht="21">
      <c r="A2" s="621" t="s">
        <v>1</v>
      </c>
      <c r="B2" s="621"/>
      <c r="C2" s="621"/>
      <c r="D2" s="621"/>
      <c r="E2" s="621"/>
      <c r="F2" s="621"/>
      <c r="G2" s="621"/>
      <c r="H2" s="621"/>
      <c r="J2" s="620" t="s">
        <v>2</v>
      </c>
      <c r="K2" s="620"/>
      <c r="L2" s="620"/>
      <c r="M2" s="620"/>
      <c r="N2" s="620"/>
      <c r="O2" s="620"/>
      <c r="P2" s="620"/>
      <c r="Q2" s="226"/>
    </row>
    <row r="3" spans="1:23" ht="17" thickBot="1">
      <c r="B3" s="182" t="s">
        <v>3</v>
      </c>
      <c r="K3" s="182" t="s">
        <v>3</v>
      </c>
      <c r="L3" s="154"/>
      <c r="M3" s="154"/>
      <c r="N3" s="154"/>
      <c r="O3" s="154"/>
      <c r="P3" s="154"/>
      <c r="Q3" s="154"/>
    </row>
    <row r="4" spans="1:23" ht="17" thickTop="1">
      <c r="A4" s="152" t="s">
        <v>4</v>
      </c>
      <c r="B4" s="570">
        <v>18</v>
      </c>
      <c r="C4" s="571" t="s">
        <v>5</v>
      </c>
      <c r="D4" s="577" t="s">
        <v>6</v>
      </c>
      <c r="J4" s="152" t="s">
        <v>4</v>
      </c>
      <c r="K4" s="570">
        <v>18</v>
      </c>
      <c r="L4" s="156" t="s">
        <v>5</v>
      </c>
      <c r="M4" s="161" t="s">
        <v>6</v>
      </c>
      <c r="N4" s="154"/>
      <c r="O4" s="154"/>
      <c r="P4" s="154"/>
      <c r="Q4" s="154"/>
    </row>
    <row r="5" spans="1:23">
      <c r="A5" s="152" t="s">
        <v>7</v>
      </c>
      <c r="B5" s="569">
        <v>18</v>
      </c>
      <c r="C5" s="157">
        <f>IF(B4=9,SUM(B5*7),IF(B4=18,SUM(B5*14),""))</f>
        <v>252</v>
      </c>
      <c r="D5" s="578">
        <f>C17</f>
        <v>108</v>
      </c>
      <c r="J5" s="152" t="s">
        <v>7</v>
      </c>
      <c r="K5" s="569"/>
      <c r="L5" s="157">
        <f>IF(K4=9,SUM(K5*7),IF(K4=18,SUM(K5*14),""))</f>
        <v>0</v>
      </c>
      <c r="M5" s="162" t="e">
        <f>L17</f>
        <v>#N/A</v>
      </c>
      <c r="N5" s="154"/>
      <c r="O5" s="154"/>
      <c r="P5" s="154"/>
      <c r="Q5" s="154"/>
    </row>
    <row r="6" spans="1:23">
      <c r="A6" s="152" t="s">
        <v>8</v>
      </c>
      <c r="B6" s="567">
        <v>13</v>
      </c>
      <c r="C6" s="157">
        <f>IF(B4=9,SUM(B6*13),IF(B4=18,SUM(B6*26),""))</f>
        <v>338</v>
      </c>
      <c r="D6" s="578">
        <f>C23</f>
        <v>219</v>
      </c>
      <c r="F6" s="154" t="s">
        <v>9</v>
      </c>
      <c r="J6" s="152" t="s">
        <v>8</v>
      </c>
      <c r="K6" s="567"/>
      <c r="L6" s="157">
        <f>IF(K4=9,SUM(K6*13),IF(K4=18,SUM(K6*26),""))</f>
        <v>0</v>
      </c>
      <c r="M6" s="162">
        <f>L23</f>
        <v>0</v>
      </c>
      <c r="N6" s="154"/>
      <c r="O6" s="154"/>
      <c r="P6" s="154"/>
      <c r="Q6" s="154"/>
    </row>
    <row r="7" spans="1:23" ht="17" thickBot="1">
      <c r="A7" s="152" t="s">
        <v>10</v>
      </c>
      <c r="B7" s="568">
        <v>9</v>
      </c>
      <c r="C7" s="157">
        <f>IF(B4=9,SUM(B7*13),IF(B4=18,SUM(B7*26),""))</f>
        <v>234</v>
      </c>
      <c r="D7" s="578">
        <f>C28</f>
        <v>117</v>
      </c>
      <c r="J7" s="152" t="s">
        <v>10</v>
      </c>
      <c r="K7" s="568"/>
      <c r="L7" s="157">
        <f>IF(K4=9,SUM(K7*13),IF(K4=18,SUM(K7*26),""))</f>
        <v>0</v>
      </c>
      <c r="M7" s="162">
        <f>L28</f>
        <v>0</v>
      </c>
      <c r="N7" s="154"/>
      <c r="O7" s="154"/>
      <c r="P7" s="154"/>
      <c r="Q7" s="154"/>
    </row>
    <row r="8" spans="1:23" ht="17" thickTop="1">
      <c r="B8" s="152" t="s">
        <v>11</v>
      </c>
      <c r="C8" s="157">
        <f>SUM(C5:C7)</f>
        <v>824</v>
      </c>
      <c r="D8" s="579">
        <f>SUM(D5:D7)</f>
        <v>444</v>
      </c>
      <c r="K8" s="152" t="s">
        <v>11</v>
      </c>
      <c r="L8" s="157">
        <f>SUM(L5:L7)</f>
        <v>0</v>
      </c>
      <c r="M8" s="576" t="e">
        <f>SUM(M5:M7)</f>
        <v>#N/A</v>
      </c>
      <c r="N8" s="154"/>
      <c r="O8" s="154"/>
      <c r="P8" s="154"/>
      <c r="Q8" s="154"/>
    </row>
    <row r="9" spans="1:23">
      <c r="K9" s="154"/>
      <c r="L9" s="154"/>
      <c r="M9" s="154"/>
      <c r="N9" s="154"/>
      <c r="O9" s="154"/>
      <c r="P9" s="154"/>
      <c r="Q9" s="154"/>
    </row>
    <row r="10" spans="1:23">
      <c r="A10" s="152" t="s">
        <v>12</v>
      </c>
      <c r="B10" s="156" t="s">
        <v>13</v>
      </c>
      <c r="C10" s="161" t="s">
        <v>6</v>
      </c>
      <c r="E10" s="156" t="s">
        <v>14</v>
      </c>
      <c r="F10" s="156" t="s">
        <v>15</v>
      </c>
      <c r="G10" s="572"/>
      <c r="H10" s="572"/>
      <c r="J10" s="152" t="s">
        <v>12</v>
      </c>
      <c r="K10" s="156" t="s">
        <v>13</v>
      </c>
      <c r="L10" s="161" t="s">
        <v>6</v>
      </c>
      <c r="M10" s="154"/>
      <c r="N10" s="156" t="s">
        <v>14</v>
      </c>
      <c r="O10" s="156" t="s">
        <v>15</v>
      </c>
      <c r="P10" s="154"/>
      <c r="Q10" s="154"/>
    </row>
    <row r="11" spans="1:23">
      <c r="A11" s="148" t="str">
        <f>_xlfn.XLOOKUP(B5,'Side Games 9'!C2:BM2,'Side Games 9'!C8:BM8)</f>
        <v>TEAM Net</v>
      </c>
      <c r="B11" s="153">
        <f>IF(B4=9,_xlfn.XLOOKUP(B5,'Side Games 9'!C2:BM2,'Side Games 9'!C4:BM4),IF(B4=18,_xlfn.XLOOKUP(B5,'Side Games 18'!C2:BM2,'Side Games 18'!C4:BM4),""))</f>
        <v>144</v>
      </c>
      <c r="C11" s="162">
        <f>IF(B4=9,_xlfn.XLOOKUP(B5,'Side Games 9'!C2:BM2,'Side Games 9'!C7:BM7),IF(B4=18,_xlfn.XLOOKUP(B5,'Side Games 18'!C2:BM2,'Side Games 18'!C7:BM7),""))</f>
        <v>36</v>
      </c>
      <c r="E11" s="155">
        <f>IF(B4=9,_xlfn.XLOOKUP(B5,'Side Games 9'!C2:BM2,'Side Games 9'!C5:BM5),IF(B4=18,_xlfn.XLOOKUP(B5,'Side Games 18'!C2:BM2,'Side Games 18'!C5:BM5),""))</f>
        <v>144</v>
      </c>
      <c r="F11" s="153">
        <f>IF(B4=9,_xlfn.XLOOKUP(B5,'Side Games 9'!C2:BM2,'Side Games 9'!C6:BM6),IF(B4=18,_xlfn.XLOOKUP(B5,'Side Games 18'!C2:BM2,'Side Games 18'!C6:BM6),""))</f>
        <v>0</v>
      </c>
      <c r="J11" s="148" t="str">
        <f>IF(OR(K5="",K5=0),"Team Game",_xlfn.XLOOKUP(K5,'Side Games 9'!C2:BM2,'Side Games 9'!C8:BM8))</f>
        <v>Team Game</v>
      </c>
      <c r="K11" s="153" t="e">
        <f>IF(K4=9,_xlfn.XLOOKUP(K5,'Side Games 9'!C2:BM2,'Side Games 9'!C4:BM4),IF(K4=18,_xlfn.XLOOKUP(K5,'Side Games 18'!C2:BM2,'Side Games 18'!C4:BM4),""))</f>
        <v>#N/A</v>
      </c>
      <c r="L11" s="162" t="e">
        <f>IF(K4=9,_xlfn.XLOOKUP(K5,'Side Games 9'!C2:BM2,'Side Games 9'!C7:BM7),IF(K4=18,_xlfn.XLOOKUP(K5,'Side Games 18'!C2:BM2,'Side Games 18'!C7:BM7),""))</f>
        <v>#N/A</v>
      </c>
      <c r="M11" s="154"/>
      <c r="N11" s="155" t="e">
        <f>IF(K4=9,_xlfn.XLOOKUP(K5,'Side Games 9'!C2:BM2,'Side Games 9'!C5:BM5),IF(K4=18,_xlfn.XLOOKUP(K5,'Side Games 18'!C2:BM2,'Side Games 18'!C5:BM5),""))</f>
        <v>#N/A</v>
      </c>
      <c r="O11" s="153" t="e">
        <f>IF(K4=9,_xlfn.XLOOKUP(K5,'Side Games 9'!C2:BM2,'Side Games 9'!C6:BM6),IF(K4=18,_xlfn.XLOOKUP(K5,'Side Games 18'!C2:BM2,'Side Games 18'!C6:BM6),""))</f>
        <v>#N/A</v>
      </c>
      <c r="P11" s="154"/>
      <c r="Q11" s="154"/>
    </row>
    <row r="12" spans="1:23">
      <c r="A12" s="148" t="s">
        <v>16</v>
      </c>
      <c r="B12" s="153">
        <f>IF(AND(B$4=9,NOT(B$5=0)),_xlfn.XLOOKUP(B$5,'Side Games 9'!C$2:BM$2,'Side Games 9'!C10:BM10),IF(AND(B$4=18,NOT(B$5=0)),_xlfn.XLOOKUP(B$5,'Side Games 18'!C$2:BM$2,'Side Games 18'!C10:BM10),""))</f>
        <v>36</v>
      </c>
      <c r="C12" s="162">
        <f>IF(B12=0,"",B12)</f>
        <v>36</v>
      </c>
      <c r="J12" s="148" t="s">
        <v>16</v>
      </c>
      <c r="K12" s="153" t="str">
        <f>IF(AND(K$4=9,NOT(K$5=0)),_xlfn.XLOOKUP(K$5,'Side Games 9'!C$2:BM$2,'Side Games 9'!C10:BM10),IF(AND(K$4=18,NOT(K$5=0)),_xlfn.XLOOKUP(K$5,'Side Games 18'!C$2:BM$2,'Side Games 18'!C10:BM10),""))</f>
        <v/>
      </c>
      <c r="L12" s="162" t="str">
        <f>IF(K12=0,"",K12)</f>
        <v/>
      </c>
      <c r="M12" s="154"/>
      <c r="N12" s="154"/>
      <c r="O12" s="154"/>
      <c r="P12" s="154"/>
      <c r="Q12" s="154"/>
    </row>
    <row r="13" spans="1:23">
      <c r="A13" s="148" t="s">
        <v>17</v>
      </c>
      <c r="B13" s="153">
        <f>IF(AND(B$4=9,NOT(B$5=0)),_xlfn.XLOOKUP(B$5,'Side Games 9'!C$2:BM$2,'Side Games 9'!C11:BM11),IF(AND(B$4=18,NOT(B$5=0)),_xlfn.XLOOKUP(B$5,'Side Games 18'!C$2:BM$2,'Side Games 18'!C11:BM11),""))</f>
        <v>36</v>
      </c>
      <c r="C13" s="162">
        <f>IF(B13=0,"",B13)</f>
        <v>36</v>
      </c>
      <c r="J13" s="148" t="s">
        <v>17</v>
      </c>
      <c r="K13" s="153" t="str">
        <f>IF(AND(K$4=9,NOT(K$5=0)),_xlfn.XLOOKUP(K$5,'Side Games 9'!C$2:BM$2,'Side Games 9'!C11:BM11),IF(AND(K$4=18,NOT(K$5=0)),_xlfn.XLOOKUP(K$5,'Side Games 18'!C$2:BM$2,'Side Games 18'!C11:BM11),""))</f>
        <v/>
      </c>
      <c r="L13" s="162" t="str">
        <f>IF(K13=0,"",K13)</f>
        <v/>
      </c>
      <c r="M13" s="154"/>
      <c r="N13" s="154"/>
      <c r="O13" s="154"/>
      <c r="P13" s="154"/>
      <c r="Q13" s="154"/>
    </row>
    <row r="14" spans="1:23">
      <c r="A14" s="148" t="s">
        <v>18</v>
      </c>
      <c r="B14" s="153" t="str">
        <f>IF(AND(B$4=9,NOT(B$5=0)),"Only for 18s",IF(AND(B$4=18,NOT(B$5=0)),_xlfn.XLOOKUP(B$5,'Side Games 18'!C$2:BM$2,'Side Games 18'!C12:BM12),""))</f>
        <v>No Game</v>
      </c>
      <c r="C14" s="162" t="str">
        <f>IF(OR(B14=0,B14="Only for 18s"),"",B14)</f>
        <v>No Game</v>
      </c>
      <c r="J14" s="148" t="s">
        <v>18</v>
      </c>
      <c r="K14" s="153" t="str">
        <f>IF(AND(K$4=9,NOT(K$5=0)),"Only for 18s",IF(AND(K$4=18,NOT(K$5=0)),_xlfn.XLOOKUP(K$5,'Side Games 18'!C$2:BM$2,'Side Games 18'!C12:BM12),""))</f>
        <v/>
      </c>
      <c r="L14" s="162" t="str">
        <f>IF(OR(K14=0,K14="Only for 18s"),"",K14)</f>
        <v/>
      </c>
      <c r="M14" s="154"/>
      <c r="N14" s="154"/>
      <c r="O14" s="154"/>
      <c r="P14" s="154"/>
      <c r="Q14" s="154"/>
      <c r="V14" s="4" t="s">
        <v>19</v>
      </c>
      <c r="W14" s="4">
        <v>44</v>
      </c>
    </row>
    <row r="15" spans="1:23">
      <c r="A15" s="148" t="s">
        <v>20</v>
      </c>
      <c r="B15" s="153" t="str">
        <f>IF(AND(B$4=9,NOT(B$5=0)),"Only for 18s",IF(AND(B$4=18,NOT(B$5=0)),_xlfn.XLOOKUP(B$5,'Side Games 18'!C$2:BM$2,'Side Games 18'!C13:BM13),""))</f>
        <v>No Game</v>
      </c>
      <c r="C15" s="162" t="str">
        <f>IF(OR(B15=0,B15="Only for 18s"),"",B15)</f>
        <v>No Game</v>
      </c>
      <c r="J15" s="148" t="s">
        <v>20</v>
      </c>
      <c r="K15" s="153" t="str">
        <f>IF(AND(K$4=9,NOT(K$5=0)),"Only for 18s",IF(AND(K$4=18,NOT(K$5=0)),_xlfn.XLOOKUP(K$5,'Side Games 18'!C$2:BM$2,'Side Games 18'!C13:BM13),""))</f>
        <v/>
      </c>
      <c r="L15" s="162" t="str">
        <f>IF(OR(K15=0,K15="Only for 18s"),"",K15)</f>
        <v/>
      </c>
      <c r="M15" s="154"/>
      <c r="N15" s="154"/>
      <c r="O15" s="154"/>
      <c r="P15" s="154"/>
      <c r="Q15" s="154"/>
      <c r="V15" s="4" t="s">
        <v>21</v>
      </c>
      <c r="W15" s="4">
        <v>80</v>
      </c>
    </row>
    <row r="16" spans="1:23">
      <c r="A16" s="148" t="s">
        <v>22</v>
      </c>
      <c r="B16" s="155">
        <f>IF(B4=9,_xlfn.XLOOKUP(B5,'Side Games 9'!C2:BM2,'Side Games 9'!C12:BM12),IF(B4=18,_xlfn.XLOOKUP(B5,'Side Games 18'!C2:BM2,'Side Games 18'!C14:BM14),""))</f>
        <v>36</v>
      </c>
      <c r="C16" s="163"/>
      <c r="J16" s="148" t="s">
        <v>22</v>
      </c>
      <c r="K16" s="155" t="e">
        <f>IF(K4=9,_xlfn.XLOOKUP(K5,'Side Games 9'!C2:BM2,'Side Games 9'!C12:BM12),IF(K4=18,_xlfn.XLOOKUP(K5,'Side Games 18'!C2:BM2,'Side Games 18'!C14:BM14),""))</f>
        <v>#N/A</v>
      </c>
      <c r="L16" s="163"/>
      <c r="M16" s="154"/>
      <c r="N16" s="154"/>
      <c r="O16" s="154"/>
      <c r="P16" s="154"/>
      <c r="Q16" s="154"/>
      <c r="V16" s="4" t="s">
        <v>23</v>
      </c>
      <c r="W16" s="4">
        <v>66</v>
      </c>
    </row>
    <row r="17" spans="1:23">
      <c r="A17" s="152" t="s">
        <v>24</v>
      </c>
      <c r="B17" s="157">
        <f>SUM(B11:B16)</f>
        <v>252</v>
      </c>
      <c r="C17" s="164">
        <f>SUM(C11:C16)</f>
        <v>108</v>
      </c>
      <c r="J17" s="152" t="s">
        <v>24</v>
      </c>
      <c r="K17" s="157" t="e">
        <f>SUM(K11:K16)</f>
        <v>#N/A</v>
      </c>
      <c r="L17" s="164" t="e">
        <f>SUM(L11:L16)</f>
        <v>#N/A</v>
      </c>
      <c r="M17" s="154"/>
      <c r="N17" s="154"/>
      <c r="O17" s="154"/>
      <c r="P17" s="154"/>
      <c r="Q17" s="154"/>
      <c r="W17" s="4">
        <f>SUM(W14:W16)</f>
        <v>190</v>
      </c>
    </row>
    <row r="18" spans="1:23">
      <c r="C18" s="163"/>
      <c r="K18" s="154"/>
      <c r="L18" s="163"/>
      <c r="M18" s="154"/>
      <c r="N18" s="154"/>
      <c r="O18" s="154"/>
      <c r="P18" s="154"/>
      <c r="Q18" s="154"/>
    </row>
    <row r="19" spans="1:23">
      <c r="A19" s="152" t="s">
        <v>25</v>
      </c>
      <c r="B19" s="156" t="s">
        <v>13</v>
      </c>
      <c r="C19" s="161" t="s">
        <v>6</v>
      </c>
      <c r="D19" s="156" t="s">
        <v>26</v>
      </c>
      <c r="E19" s="156" t="s">
        <v>14</v>
      </c>
      <c r="F19" s="156" t="s">
        <v>15</v>
      </c>
      <c r="G19" s="156" t="s">
        <v>27</v>
      </c>
      <c r="H19" s="156" t="s">
        <v>28</v>
      </c>
      <c r="J19" s="152" t="s">
        <v>25</v>
      </c>
      <c r="K19" s="156" t="s">
        <v>13</v>
      </c>
      <c r="L19" s="161" t="s">
        <v>6</v>
      </c>
      <c r="M19" s="156" t="s">
        <v>26</v>
      </c>
      <c r="N19" s="156" t="s">
        <v>14</v>
      </c>
      <c r="O19" s="156" t="s">
        <v>15</v>
      </c>
      <c r="P19" s="156" t="s">
        <v>27</v>
      </c>
      <c r="Q19" s="156" t="s">
        <v>28</v>
      </c>
      <c r="R19" s="575"/>
    </row>
    <row r="20" spans="1:23">
      <c r="A20" s="148" t="s">
        <v>29</v>
      </c>
      <c r="B20" s="153">
        <f>IF(AND(B4=9,NOT(B6=0)),_xlfn.XLOOKUP(B6,'Side Games 9'!C14:BM14,'Side Games 9'!C16:BM16),IF(AND(B4=18,NOT(B6=0)),_xlfn.XLOOKUP(B6,'Side Games 18'!C16:BM16,'Side Games 18'!C18:BM18),""))</f>
        <v>238</v>
      </c>
      <c r="C20" s="165">
        <f>IF(AND(B4=9,NOT(B6=0)),_xlfn.XLOOKUP(B6,'Side Games 9'!C14:BM14,'Side Games 9'!C17:BM17),IF(AND(B4=18,NOT(B6=0)),_xlfn.XLOOKUP(B6,'Side Games 18'!C16:BM16,'Side Games 18'!C20:BM20),""))</f>
        <v>119</v>
      </c>
      <c r="D20" s="154">
        <f>IF(AND(B4=9,NOT(B6=0)),_xlfn.XLOOKUP(B6,'Side Games 9'!C14:BM14,'Side Games 9'!C23:BM23),IF(AND(B4=18,NOT(B6=0)),_xlfn.XLOOKUP(B6,'Side Games 18'!C16:BM16,'Side Games 18'!C36:BM36),""))</f>
        <v>1</v>
      </c>
      <c r="E20" s="153">
        <f>IF(AND(B4=9,NOT(B6=0)),_xlfn.XLOOKUP(B6,'Side Games 9'!C14:BM14,'Side Games 9'!C17:BM17),IF(AND(B4=18,NOT(B6=0)),_xlfn.XLOOKUP(B6,'Side Games 18'!C16:BM16,'Side Games 18'!C20:BM20),""))</f>
        <v>119</v>
      </c>
      <c r="F20" s="153">
        <f>IF(AND(B4=9,NOT(B6=0)),_xlfn.XLOOKUP(B6,'Side Games 9'!C14:BM14,'Side Games 9'!C18:BM18),IF(AND(B4=18,NOT(B6=0)),_xlfn.XLOOKUP(B6,'Side Games 18'!C16:BM16,'Side Games 18'!C21:BM21),""))</f>
        <v>71.399999999999991</v>
      </c>
      <c r="G20" s="153">
        <f>IF(AND(B4=9,NOT(B6=0)),_xlfn.XLOOKUP(B6,'Side Games 9'!C14:BM14,'Side Games 9'!C19:BM19),IF(AND(B4=18,NOT(B6=0)),_xlfn.XLOOKUP(B6,'Side Games 18'!C16:BM16,'Side Games 18'!C22:BM22),""))</f>
        <v>47.6</v>
      </c>
      <c r="H20" s="153">
        <f>IF(AND(B4=9,NOT(B6=0)),_xlfn.XLOOKUP(B6,'Side Games 9'!C14:BM14,'Side Games 9'!C20:BM20),IF(AND(B4=18,NOT(B6=0)),_xlfn.XLOOKUP(B6,'Side Games 18'!C16:BM16,'Side Games 18'!C23:BM23),""))</f>
        <v>0</v>
      </c>
      <c r="J20" s="148" t="s">
        <v>29</v>
      </c>
      <c r="K20" s="153" t="str">
        <f>IF(AND(K4=9,NOT(K6=0)),_xlfn.XLOOKUP(K5,'Side Games 9'!C14:BM14,'Side Games 9'!C16:BM16),IF(AND(K4=18,NOT(K6=0)),_xlfn.XLOOKUP(K6,'Side Games 18'!C16:BM16,'Side Games 18'!C18:BM18),""))</f>
        <v/>
      </c>
      <c r="L20" s="165" t="str">
        <f>IF(AND(K4=9,NOT(K6=0)),_xlfn.XLOOKUP(K6,'Side Games 9'!C14:BM14,'Side Games 9'!C17:BM17),IF(AND(K4=18,NOT(K6=0)),_xlfn.XLOOKUP(K6,'Side Games 18'!C16:BM16,'Side Games 18'!C20:BM20),""))</f>
        <v/>
      </c>
      <c r="M20" s="572" t="str">
        <f>IF(AND(K4=9,NOT(K6=0)),_xlfn.XLOOKUP(K6,'Side Games 9'!C14:BM14,'Side Games 9'!C23:BM23),IF(AND(K4=18,NOT(K6=0)),_xlfn.XLOOKUP(K6,'Side Games 18'!C16:BM16,'Side Games 18'!C36:BM36),""))</f>
        <v/>
      </c>
      <c r="N20" s="153" t="str">
        <f>IF(AND(K4=9,NOT(K6=0)),_xlfn.XLOOKUP(K6,'Side Games 9'!C14:BM14,'Side Games 9'!C17:BM17),IF(AND(K4=18,NOT(K6=0)),_xlfn.XLOOKUP(K6,'Side Games 18'!C16:BM16,'Side Games 18'!C20:BM20),""))</f>
        <v/>
      </c>
      <c r="O20" s="153" t="str">
        <f>IF(AND(K4=9,NOT(K6=0)),_xlfn.XLOOKUP(K6,'Side Games 9'!C14:BM14,'Side Games 9'!C18:BM18),IF(AND(K4=18,NOT(K6=0)),_xlfn.XLOOKUP(K6,'Side Games 18'!C16:BM16,'Side Games 18'!C21:BM21),""))</f>
        <v/>
      </c>
      <c r="P20" s="153" t="str">
        <f>IF(AND(K4=9,NOT(K6=0)),_xlfn.XLOOKUP(K6,'Side Games 9'!C14:BM14,'Side Games 9'!C19:BM19),IF(AND(K4=18,NOT(K6=0)),_xlfn.XLOOKUP(K6,'Side Games 18'!C16:BM16,'Side Games 18'!C22:BM22),""))</f>
        <v/>
      </c>
      <c r="Q20" s="574" t="str">
        <f>IF(AND(K4=9,NOT(K6=0)),_xlfn.XLOOKUP(K6,'Side Games 9'!C14:BM14,'Side Games 9'!C20:BM20),IF(AND(K4=18,NOT(K6=0)),_xlfn.XLOOKUP(K6,'Side Games 18'!C16:BM16,'Side Games 18'!C23:BM23),""))</f>
        <v/>
      </c>
    </row>
    <row r="21" spans="1:23">
      <c r="A21" s="148" t="s">
        <v>30</v>
      </c>
      <c r="B21" s="153">
        <f>IF(AND(B4=9,NOT(B6=0)),_xlfn.XLOOKUP(B6,'Side Games 9'!C14:BM14,'Side Games 9'!C24:BM24),IF(AND(B4=18,NOT(B6=0)),_xlfn.XLOOKUP(B6,'Side Games 18'!C16:BM16,'Side Games 18'!C37:BM37),""))</f>
        <v>100</v>
      </c>
      <c r="C21" s="162">
        <f>B21</f>
        <v>100</v>
      </c>
      <c r="D21" s="4"/>
      <c r="E21" s="4"/>
      <c r="F21" s="4"/>
      <c r="G21" s="4"/>
      <c r="H21" s="4"/>
      <c r="J21" s="148" t="s">
        <v>30</v>
      </c>
      <c r="K21" s="153" t="str">
        <f>IF(AND(K4=9,NOT(K6=0)),_xlfn.XLOOKUP(K6,'Side Games 9'!C14:BM14,'Side Games 9'!C24:BM24),IF(AND(K4=18,NOT(K6=0)),_xlfn.XLOOKUP(K6,'Side Games 18'!C16:BM16,'Side Games 18'!C37:BM37),""))</f>
        <v/>
      </c>
      <c r="L21" s="162" t="str">
        <f>K21</f>
        <v/>
      </c>
    </row>
    <row r="22" spans="1:23">
      <c r="A22" s="148" t="s">
        <v>21</v>
      </c>
      <c r="B22" s="153" t="str">
        <f>IF(OR(K5="",K5=0,B4=18),"No Game",SUM(B21+K21))</f>
        <v>No Game</v>
      </c>
      <c r="C22" s="162" t="str">
        <f>B22</f>
        <v>No Game</v>
      </c>
      <c r="D22" s="4"/>
      <c r="E22" s="4"/>
      <c r="F22" s="4"/>
      <c r="G22" s="4"/>
      <c r="H22" s="4"/>
      <c r="J22" s="148" t="s">
        <v>21</v>
      </c>
      <c r="K22" s="153" t="str">
        <f>IF(OR(K5="",K5=0,K4=18),"No Game",SUM(B21+K21))</f>
        <v>No Game</v>
      </c>
      <c r="L22" s="162" t="str">
        <f>K22</f>
        <v>No Game</v>
      </c>
    </row>
    <row r="23" spans="1:23">
      <c r="A23" s="152" t="s">
        <v>24</v>
      </c>
      <c r="B23" s="157">
        <f>SUM(B20:B22)</f>
        <v>338</v>
      </c>
      <c r="C23" s="164">
        <f>SUM(C20:C22)</f>
        <v>219</v>
      </c>
      <c r="J23" s="152" t="s">
        <v>24</v>
      </c>
      <c r="K23" s="157">
        <f>SUM(K20:K22)</f>
        <v>0</v>
      </c>
      <c r="L23" s="164">
        <f>SUM(L20:L22)</f>
        <v>0</v>
      </c>
      <c r="M23" s="154"/>
      <c r="N23" s="154"/>
      <c r="O23" s="154"/>
      <c r="P23" s="154"/>
      <c r="Q23" s="154"/>
    </row>
    <row r="24" spans="1:23">
      <c r="K24" s="154"/>
      <c r="L24" s="154"/>
      <c r="M24" s="154"/>
      <c r="N24" s="154"/>
      <c r="O24" s="154"/>
      <c r="P24" s="154"/>
      <c r="Q24" s="154"/>
    </row>
    <row r="25" spans="1:23">
      <c r="A25" s="152" t="s">
        <v>31</v>
      </c>
      <c r="B25" s="156" t="s">
        <v>13</v>
      </c>
      <c r="C25" s="161" t="s">
        <v>6</v>
      </c>
      <c r="D25" s="156" t="s">
        <v>26</v>
      </c>
      <c r="E25" s="156" t="s">
        <v>14</v>
      </c>
      <c r="F25" s="156" t="s">
        <v>15</v>
      </c>
      <c r="G25" s="156"/>
      <c r="H25" s="156"/>
      <c r="J25" s="152" t="s">
        <v>31</v>
      </c>
      <c r="K25" s="156" t="s">
        <v>13</v>
      </c>
      <c r="L25" s="161" t="s">
        <v>6</v>
      </c>
      <c r="M25" s="156" t="s">
        <v>26</v>
      </c>
      <c r="N25" s="156" t="s">
        <v>14</v>
      </c>
      <c r="O25" s="156" t="s">
        <v>15</v>
      </c>
      <c r="P25" s="156"/>
      <c r="Q25" s="156"/>
    </row>
    <row r="26" spans="1:23">
      <c r="A26" s="148" t="s">
        <v>32</v>
      </c>
      <c r="B26" s="153">
        <f>IF(AND(B4=9,NOT(B7=0)),_xlfn.XLOOKUP(B7,'Side Games 9'!C27:BM27,'Side Games 9'!C29:BM29),IF(AND(B4=18,NOT(B7=0)),_xlfn.XLOOKUP(B7,'Side Games 18'!C39:BM39,'Side Games 18'!C41:BM41),""))</f>
        <v>234</v>
      </c>
      <c r="C26" s="153">
        <f>SUM(B26/D26)</f>
        <v>117</v>
      </c>
      <c r="D26" s="154">
        <f>IF(AND(B4=9,NOT(B7=0)),_xlfn.XLOOKUP(B7,'Side Games 9'!C27:BM27,'Side Games 9'!C39:BM39),IF(AND(B4=18,NOT(B7=0)),_xlfn.XLOOKUP(B7,'Side Games 18'!C39:BM39,'Side Games 18'!C51:BM51),""))</f>
        <v>2</v>
      </c>
      <c r="J26" s="148" t="s">
        <v>32</v>
      </c>
      <c r="K26" s="153" t="str">
        <f>IF(AND(K4=9,NOT(K7=0)),_xlfn.XLOOKUP(K7,'Side Games 9'!C27:BM27,'Side Games 9'!C29:BM29),IF(AND(K4=18,NOT(K7=0)),_xlfn.XLOOKUP(K7,'Side Games 18'!C39:BM39,'Side Games 18'!C41:BM41),""))</f>
        <v/>
      </c>
      <c r="L26" s="153" t="str">
        <f>IF(OR(K26="",K26=0),"",SUM(K26/M26))</f>
        <v/>
      </c>
      <c r="M26" s="154" t="str">
        <f>IF(AND(K4=9,NOT(K7=0)),_xlfn.XLOOKUP(K7,'Side Games 9'!C27:BM27,'Side Games 9'!C39:BM39),IF(AND(K4=18,NOT(K7=0)),_xlfn.XLOOKUP(K7,'Side Games 18'!C39:BM39,'Side Games 18'!C51:BM51),""))</f>
        <v/>
      </c>
      <c r="N26" s="154"/>
      <c r="O26" s="154"/>
      <c r="P26" s="154"/>
      <c r="Q26" s="154"/>
    </row>
    <row r="27" spans="1:23">
      <c r="A27" s="148" t="s">
        <v>33</v>
      </c>
      <c r="B27" s="153">
        <f>IF(AND(B4=9,NOT(B7=0)),_xlfn.XLOOKUP(B7,'Side Games 9'!C27:BM27,'Side Games 9'!C40:BM40),IF(AND(B4=18,NOT(B7=0)),_xlfn.XLOOKUP(B7,'Side Games 18'!C39:BM39,'Side Games 18'!C52:BM52),""))</f>
        <v>0</v>
      </c>
      <c r="C27" s="153" t="str">
        <f>IF(AND(B4=9,NOT(B7=0)),_xlfn.XLOOKUP(B7,'Side Games 9'!C27:BM27,'Side Games 9'!C41:BM41),IF(AND(B4=18,NOT(B7=0)),_xlfn.XLOOKUP(B7,'Side Games 18'!C39:BM39,'Side Games 18'!C53:BM53),""))</f>
        <v>No Game</v>
      </c>
      <c r="D27" s="154" t="str">
        <f>IF(AND(B4=9,NOT(B7=0)),_xlfn.XLOOKUP(B7,'Side Games 9'!C27:BM27,'Side Games 9'!C42:BM42),IF(AND(B4=18,NOT(B7=0)),_xlfn.XLOOKUP(B7,'Side Games 18'!C39:BM39,'Side Games 18'!C55:BM55),""))</f>
        <v>No Game</v>
      </c>
      <c r="E27" s="153" t="str">
        <f>IF(AND(B4=9,NOT(B7=0)),_xlfn.XLOOKUP(B7,'Side Games 9'!C27:BM27,'Side Games 9'!C41:BM41),IF(AND(B4=18,NOT(B7=0)),_xlfn.XLOOKUP(B7,'Side Games 18'!C39:BM39,'Side Games 18'!C53:BM53),""))</f>
        <v>No Game</v>
      </c>
      <c r="F27" s="153" t="str">
        <f>IF(B4=9,0,IF(AND(B4=18,NOT(B7=0)),_xlfn.XLOOKUP(B7,'Side Games 18'!C39:BM39,'Side Games 18'!C54:BM54),""))</f>
        <v>No Game</v>
      </c>
      <c r="J27" s="148" t="s">
        <v>33</v>
      </c>
      <c r="K27" s="153" t="str">
        <f>IF(AND(K4=9,NOT(K7=0)),_xlfn.XLOOKUP(K7,'Side Games 9'!C27:BM27,'Side Games 9'!C40:BM40),IF(AND(K4=18,NOT(K7=0)),_xlfn.XLOOKUP(K7,'Side Games 18'!C39:BM39,'Side Games 18'!C52:BM52),""))</f>
        <v/>
      </c>
      <c r="L27" s="153" t="str">
        <f>IF(AND(K4=9,NOT(K7=0)),_xlfn.XLOOKUP(K7,'Side Games 9'!C27:BM27,'Side Games 9'!C41:BM41),IF(AND(K4=18,NOT(K7=0)),_xlfn.XLOOKUP(K7,'Side Games 18'!C39:BM39,'Side Games 18'!C53:BM53),""))</f>
        <v/>
      </c>
      <c r="M27" s="154" t="str">
        <f>IF(AND(K4=9,NOT(K7=0)),_xlfn.XLOOKUP(K7,'Side Games 9'!C27:BM27,'Side Games 9'!C42:BM42),IF(AND(K4=18,NOT(K7=0)),_xlfn.XLOOKUP(K7,'Side Games 18'!C39:BM39,'Side Games 18'!C55:BM55),""))</f>
        <v/>
      </c>
      <c r="N27" s="153" t="str">
        <f>IF(AND(K4=9,NOT(K7=0)),_xlfn.XLOOKUP(K7,'Side Games 9'!C27:BM27,'Side Games 9'!C41:BM41),IF(AND(K4=18,NOT(K7=0)),_xlfn.XLOOKUP(K7,'Side Games 18'!C39:BM39,'Side Games 18'!C53:BM53),""))</f>
        <v/>
      </c>
      <c r="O27" s="153" t="str">
        <f>IF(K4=9,0,IF(AND(K4=18,NOT(K7=0)),_xlfn.XLOOKUP(K7,'Side Games 18'!C39:BM39,'Side Games 18'!C54:BM54),""))</f>
        <v/>
      </c>
      <c r="P27" s="154"/>
      <c r="Q27" s="154"/>
      <c r="W27" s="575"/>
    </row>
    <row r="28" spans="1:23">
      <c r="A28" s="152" t="s">
        <v>24</v>
      </c>
      <c r="B28" s="157">
        <f>SUM(B26:B27)</f>
        <v>234</v>
      </c>
      <c r="C28" s="164">
        <f>SUM(C26:C27)</f>
        <v>117</v>
      </c>
      <c r="J28" s="152" t="s">
        <v>24</v>
      </c>
      <c r="K28" s="157">
        <f>SUM(K26:K27)</f>
        <v>0</v>
      </c>
      <c r="L28" s="164">
        <f>SUM(L26:L27)</f>
        <v>0</v>
      </c>
      <c r="M28" s="154"/>
      <c r="N28" s="154"/>
      <c r="O28" s="154"/>
    </row>
    <row r="29" spans="1:23">
      <c r="K29" s="154"/>
      <c r="L29" s="154"/>
      <c r="M29" s="154"/>
      <c r="N29" s="154"/>
      <c r="O29" s="154"/>
    </row>
    <row r="30" spans="1:23">
      <c r="A30" s="152" t="s">
        <v>5</v>
      </c>
      <c r="B30" s="157">
        <f>SUM(B17,B23,B28)</f>
        <v>824</v>
      </c>
      <c r="C30" s="164">
        <f>SUM(C17,C23,C28)</f>
        <v>444</v>
      </c>
      <c r="J30" s="152" t="s">
        <v>5</v>
      </c>
      <c r="K30" s="157" t="e">
        <f>SUM(K17,K23,K28)</f>
        <v>#N/A</v>
      </c>
      <c r="L30" s="164" t="e">
        <f>SUM(L17,L23,L28)</f>
        <v>#N/A</v>
      </c>
      <c r="M30" s="154"/>
      <c r="N30" s="154"/>
      <c r="O30" s="154"/>
    </row>
    <row r="31" spans="1:23">
      <c r="A31" s="148" t="s">
        <v>34</v>
      </c>
      <c r="B31" s="153">
        <f>SUM(C8-B30)</f>
        <v>0</v>
      </c>
      <c r="J31" s="148" t="s">
        <v>34</v>
      </c>
      <c r="K31" s="153" t="e">
        <f>SUM(L8-K30)</f>
        <v>#N/A</v>
      </c>
      <c r="L31" s="154"/>
      <c r="M31" s="154"/>
      <c r="N31" s="154"/>
      <c r="O31" s="154"/>
    </row>
    <row r="34" spans="1:7">
      <c r="A34" s="152" t="s">
        <v>35</v>
      </c>
      <c r="B34" s="157" t="e">
        <f>SUM(B30+K30)</f>
        <v>#N/A</v>
      </c>
    </row>
    <row r="35" spans="1:7">
      <c r="B35" s="153"/>
    </row>
    <row r="41" spans="1:7">
      <c r="G41" s="153"/>
    </row>
    <row r="43" spans="1:7">
      <c r="G43" s="153"/>
    </row>
  </sheetData>
  <sheetProtection selectLockedCells="1"/>
  <mergeCells count="2">
    <mergeCell ref="J2:P2"/>
    <mergeCell ref="A2:H2"/>
  </mergeCells>
  <dataValidations count="1">
    <dataValidation type="list" allowBlank="1" showInputMessage="1" showErrorMessage="1" prompt="Enter 9 or 18" sqref="B4 K4" xr:uid="{4EF1FE53-F846-49AF-AEAF-3EE86DA92EA9}">
      <formula1>EventHoles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9262-C89B-412B-8AB7-812B529A4594}">
  <sheetPr>
    <pageSetUpPr fitToPage="1"/>
  </sheetPr>
  <dimension ref="A1:BM93"/>
  <sheetViews>
    <sheetView showGridLines="0" zoomScaleNormal="100"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K8" sqref="K8"/>
    </sheetView>
  </sheetViews>
  <sheetFormatPr baseColWidth="10" defaultColWidth="7.83203125" defaultRowHeight="15" customHeight="1"/>
  <cols>
    <col min="1" max="1" width="18.83203125" style="4" customWidth="1"/>
    <col min="2" max="2" width="8.83203125" style="3" customWidth="1"/>
    <col min="3" max="4" width="7.83203125" style="3" customWidth="1"/>
    <col min="5" max="35" width="7.83203125" style="3"/>
    <col min="36" max="16384" width="7.83203125" style="2"/>
  </cols>
  <sheetData>
    <row r="1" spans="1:65" ht="27" thickBot="1">
      <c r="A1" s="197" t="s">
        <v>36</v>
      </c>
      <c r="B1" s="196"/>
      <c r="C1" s="196"/>
      <c r="D1" s="196"/>
      <c r="E1" s="213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</row>
    <row r="2" spans="1:65" s="14" customFormat="1" ht="21">
      <c r="A2" s="20" t="s">
        <v>37</v>
      </c>
      <c r="B2" s="21">
        <v>7</v>
      </c>
      <c r="C2" s="22">
        <v>2</v>
      </c>
      <c r="D2" s="205">
        <v>3</v>
      </c>
      <c r="E2" s="214">
        <v>4</v>
      </c>
      <c r="F2" s="23">
        <v>5</v>
      </c>
      <c r="G2" s="23">
        <v>6</v>
      </c>
      <c r="H2" s="23">
        <v>7</v>
      </c>
      <c r="I2" s="23">
        <v>8</v>
      </c>
      <c r="J2" s="23">
        <v>9</v>
      </c>
      <c r="K2" s="23">
        <v>10</v>
      </c>
      <c r="L2" s="23">
        <v>11</v>
      </c>
      <c r="M2" s="23">
        <v>12</v>
      </c>
      <c r="N2" s="23">
        <v>13</v>
      </c>
      <c r="O2" s="23">
        <v>14</v>
      </c>
      <c r="P2" s="23">
        <v>15</v>
      </c>
      <c r="Q2" s="24">
        <v>16</v>
      </c>
      <c r="R2" s="24">
        <v>17</v>
      </c>
      <c r="S2" s="24">
        <v>18</v>
      </c>
      <c r="T2" s="24">
        <v>19</v>
      </c>
      <c r="U2" s="24">
        <v>20</v>
      </c>
      <c r="V2" s="24">
        <v>21</v>
      </c>
      <c r="W2" s="24">
        <v>22</v>
      </c>
      <c r="X2" s="24">
        <v>23</v>
      </c>
      <c r="Y2" s="24">
        <v>24</v>
      </c>
      <c r="Z2" s="24">
        <v>25</v>
      </c>
      <c r="AA2" s="24">
        <v>26</v>
      </c>
      <c r="AB2" s="24">
        <v>27</v>
      </c>
      <c r="AC2" s="24">
        <v>28</v>
      </c>
      <c r="AD2" s="24">
        <v>29</v>
      </c>
      <c r="AE2" s="24">
        <v>30</v>
      </c>
      <c r="AF2" s="24">
        <v>31</v>
      </c>
      <c r="AG2" s="24">
        <v>32</v>
      </c>
      <c r="AH2" s="24">
        <v>33</v>
      </c>
      <c r="AI2" s="24">
        <v>34</v>
      </c>
      <c r="AJ2" s="24">
        <v>35</v>
      </c>
      <c r="AK2" s="24">
        <v>36</v>
      </c>
      <c r="AL2" s="24">
        <v>37</v>
      </c>
      <c r="AM2" s="24">
        <v>38</v>
      </c>
      <c r="AN2" s="24">
        <v>39</v>
      </c>
      <c r="AO2" s="24">
        <v>40</v>
      </c>
      <c r="AP2" s="24">
        <v>41</v>
      </c>
      <c r="AQ2" s="24">
        <v>42</v>
      </c>
      <c r="AR2" s="24">
        <v>43</v>
      </c>
      <c r="AS2" s="24">
        <v>44</v>
      </c>
      <c r="AT2" s="24">
        <v>45</v>
      </c>
      <c r="AU2" s="24">
        <v>46</v>
      </c>
      <c r="AV2" s="24">
        <v>47</v>
      </c>
      <c r="AW2" s="24">
        <v>48</v>
      </c>
      <c r="AX2" s="24">
        <v>49</v>
      </c>
      <c r="AY2" s="24">
        <v>50</v>
      </c>
      <c r="AZ2" s="24">
        <v>51</v>
      </c>
      <c r="BA2" s="24">
        <v>52</v>
      </c>
      <c r="BB2" s="24">
        <v>53</v>
      </c>
      <c r="BC2" s="24">
        <v>54</v>
      </c>
      <c r="BD2" s="24">
        <v>55</v>
      </c>
      <c r="BE2" s="24">
        <v>56</v>
      </c>
      <c r="BF2" s="24">
        <v>57</v>
      </c>
      <c r="BG2" s="24">
        <v>58</v>
      </c>
      <c r="BH2" s="24">
        <v>59</v>
      </c>
      <c r="BI2" s="24">
        <v>60</v>
      </c>
      <c r="BJ2" s="24">
        <v>61</v>
      </c>
      <c r="BK2" s="24">
        <v>62</v>
      </c>
      <c r="BL2" s="24">
        <v>63</v>
      </c>
      <c r="BM2" s="25">
        <v>64</v>
      </c>
    </row>
    <row r="3" spans="1:65" ht="19" customHeight="1" thickBot="1">
      <c r="A3" s="622" t="s">
        <v>38</v>
      </c>
      <c r="B3" s="623"/>
      <c r="C3" s="19">
        <f t="shared" ref="C3:AH3" si="0">SUM(C2*$B2)</f>
        <v>14</v>
      </c>
      <c r="D3" s="206">
        <f t="shared" si="0"/>
        <v>21</v>
      </c>
      <c r="E3" s="208">
        <f t="shared" si="0"/>
        <v>28</v>
      </c>
      <c r="F3" s="9">
        <f t="shared" si="0"/>
        <v>35</v>
      </c>
      <c r="G3" s="9">
        <f t="shared" si="0"/>
        <v>42</v>
      </c>
      <c r="H3" s="9">
        <f t="shared" si="0"/>
        <v>49</v>
      </c>
      <c r="I3" s="9">
        <f t="shared" si="0"/>
        <v>56</v>
      </c>
      <c r="J3" s="9">
        <f t="shared" si="0"/>
        <v>63</v>
      </c>
      <c r="K3" s="9">
        <f t="shared" si="0"/>
        <v>70</v>
      </c>
      <c r="L3" s="9">
        <f t="shared" si="0"/>
        <v>77</v>
      </c>
      <c r="M3" s="9">
        <f t="shared" si="0"/>
        <v>84</v>
      </c>
      <c r="N3" s="9">
        <f t="shared" si="0"/>
        <v>91</v>
      </c>
      <c r="O3" s="9">
        <f t="shared" si="0"/>
        <v>98</v>
      </c>
      <c r="P3" s="9">
        <f t="shared" si="0"/>
        <v>105</v>
      </c>
      <c r="Q3" s="9">
        <f t="shared" si="0"/>
        <v>112</v>
      </c>
      <c r="R3" s="9">
        <f t="shared" si="0"/>
        <v>119</v>
      </c>
      <c r="S3" s="9">
        <f t="shared" si="0"/>
        <v>126</v>
      </c>
      <c r="T3" s="9">
        <f t="shared" si="0"/>
        <v>133</v>
      </c>
      <c r="U3" s="9">
        <f t="shared" si="0"/>
        <v>140</v>
      </c>
      <c r="V3" s="9">
        <f t="shared" si="0"/>
        <v>147</v>
      </c>
      <c r="W3" s="9">
        <f t="shared" si="0"/>
        <v>154</v>
      </c>
      <c r="X3" s="9">
        <f t="shared" si="0"/>
        <v>161</v>
      </c>
      <c r="Y3" s="9">
        <f t="shared" si="0"/>
        <v>168</v>
      </c>
      <c r="Z3" s="9">
        <f t="shared" si="0"/>
        <v>175</v>
      </c>
      <c r="AA3" s="9">
        <f t="shared" si="0"/>
        <v>182</v>
      </c>
      <c r="AB3" s="9">
        <f t="shared" si="0"/>
        <v>189</v>
      </c>
      <c r="AC3" s="9">
        <f t="shared" si="0"/>
        <v>196</v>
      </c>
      <c r="AD3" s="9">
        <f t="shared" si="0"/>
        <v>203</v>
      </c>
      <c r="AE3" s="9">
        <f t="shared" si="0"/>
        <v>210</v>
      </c>
      <c r="AF3" s="9">
        <f t="shared" si="0"/>
        <v>217</v>
      </c>
      <c r="AG3" s="9">
        <f t="shared" si="0"/>
        <v>224</v>
      </c>
      <c r="AH3" s="9">
        <f t="shared" si="0"/>
        <v>231</v>
      </c>
      <c r="AI3" s="9">
        <f t="shared" ref="AI3:BM3" si="1">SUM(AI2*$B2)</f>
        <v>238</v>
      </c>
      <c r="AJ3" s="9">
        <f t="shared" si="1"/>
        <v>245</v>
      </c>
      <c r="AK3" s="9">
        <f t="shared" si="1"/>
        <v>252</v>
      </c>
      <c r="AL3" s="9">
        <f t="shared" si="1"/>
        <v>259</v>
      </c>
      <c r="AM3" s="9">
        <f t="shared" si="1"/>
        <v>266</v>
      </c>
      <c r="AN3" s="9">
        <f t="shared" si="1"/>
        <v>273</v>
      </c>
      <c r="AO3" s="9">
        <f t="shared" si="1"/>
        <v>280</v>
      </c>
      <c r="AP3" s="9">
        <f t="shared" si="1"/>
        <v>287</v>
      </c>
      <c r="AQ3" s="9">
        <f t="shared" si="1"/>
        <v>294</v>
      </c>
      <c r="AR3" s="9">
        <f t="shared" si="1"/>
        <v>301</v>
      </c>
      <c r="AS3" s="9">
        <f t="shared" si="1"/>
        <v>308</v>
      </c>
      <c r="AT3" s="9">
        <f t="shared" si="1"/>
        <v>315</v>
      </c>
      <c r="AU3" s="9">
        <f t="shared" si="1"/>
        <v>322</v>
      </c>
      <c r="AV3" s="9">
        <f t="shared" si="1"/>
        <v>329</v>
      </c>
      <c r="AW3" s="9">
        <f t="shared" si="1"/>
        <v>336</v>
      </c>
      <c r="AX3" s="9">
        <f t="shared" si="1"/>
        <v>343</v>
      </c>
      <c r="AY3" s="9">
        <f t="shared" si="1"/>
        <v>350</v>
      </c>
      <c r="AZ3" s="9">
        <f t="shared" si="1"/>
        <v>357</v>
      </c>
      <c r="BA3" s="9">
        <f t="shared" si="1"/>
        <v>364</v>
      </c>
      <c r="BB3" s="9">
        <f t="shared" si="1"/>
        <v>371</v>
      </c>
      <c r="BC3" s="9">
        <f t="shared" si="1"/>
        <v>378</v>
      </c>
      <c r="BD3" s="9">
        <f t="shared" si="1"/>
        <v>385</v>
      </c>
      <c r="BE3" s="9">
        <f t="shared" si="1"/>
        <v>392</v>
      </c>
      <c r="BF3" s="9">
        <f t="shared" si="1"/>
        <v>399</v>
      </c>
      <c r="BG3" s="9">
        <f t="shared" si="1"/>
        <v>406</v>
      </c>
      <c r="BH3" s="9">
        <f t="shared" si="1"/>
        <v>413</v>
      </c>
      <c r="BI3" s="9">
        <f t="shared" si="1"/>
        <v>420</v>
      </c>
      <c r="BJ3" s="9">
        <f t="shared" si="1"/>
        <v>427</v>
      </c>
      <c r="BK3" s="9">
        <f t="shared" si="1"/>
        <v>434</v>
      </c>
      <c r="BL3" s="9">
        <f t="shared" si="1"/>
        <v>441</v>
      </c>
      <c r="BM3" s="10">
        <f t="shared" si="1"/>
        <v>448</v>
      </c>
    </row>
    <row r="4" spans="1:65" ht="19" customHeight="1">
      <c r="A4" s="35" t="s">
        <v>39</v>
      </c>
      <c r="B4" s="70">
        <v>4</v>
      </c>
      <c r="C4" s="198" t="s">
        <v>40</v>
      </c>
      <c r="D4" s="199" t="s">
        <v>40</v>
      </c>
      <c r="E4" s="191">
        <f t="shared" ref="E4:P4" si="2">SUM(E14*$B4)+SUM(E2*$B9)</f>
        <v>24</v>
      </c>
      <c r="F4" s="51">
        <f t="shared" si="2"/>
        <v>30</v>
      </c>
      <c r="G4" s="51">
        <f t="shared" si="2"/>
        <v>36</v>
      </c>
      <c r="H4" s="51">
        <f t="shared" si="2"/>
        <v>42</v>
      </c>
      <c r="I4" s="51">
        <f t="shared" si="2"/>
        <v>48</v>
      </c>
      <c r="J4" s="51">
        <f t="shared" si="2"/>
        <v>54</v>
      </c>
      <c r="K4" s="51">
        <f t="shared" si="2"/>
        <v>60</v>
      </c>
      <c r="L4" s="51">
        <f t="shared" si="2"/>
        <v>66</v>
      </c>
      <c r="M4" s="51">
        <f t="shared" si="2"/>
        <v>72</v>
      </c>
      <c r="N4" s="51">
        <f t="shared" si="2"/>
        <v>78</v>
      </c>
      <c r="O4" s="51">
        <f t="shared" si="2"/>
        <v>84</v>
      </c>
      <c r="P4" s="189">
        <f t="shared" si="2"/>
        <v>90</v>
      </c>
      <c r="Q4" s="191">
        <f t="shared" ref="Q4:AV4" si="3">SUM(Q14*$B4)</f>
        <v>64</v>
      </c>
      <c r="R4" s="51">
        <f t="shared" si="3"/>
        <v>68</v>
      </c>
      <c r="S4" s="51">
        <f t="shared" si="3"/>
        <v>72</v>
      </c>
      <c r="T4" s="51">
        <f t="shared" si="3"/>
        <v>76</v>
      </c>
      <c r="U4" s="51">
        <f t="shared" si="3"/>
        <v>80</v>
      </c>
      <c r="V4" s="51">
        <f t="shared" si="3"/>
        <v>84</v>
      </c>
      <c r="W4" s="51">
        <f t="shared" si="3"/>
        <v>88</v>
      </c>
      <c r="X4" s="51">
        <f t="shared" si="3"/>
        <v>92</v>
      </c>
      <c r="Y4" s="51">
        <f t="shared" si="3"/>
        <v>96</v>
      </c>
      <c r="Z4" s="51">
        <f t="shared" si="3"/>
        <v>100</v>
      </c>
      <c r="AA4" s="51">
        <f t="shared" si="3"/>
        <v>104</v>
      </c>
      <c r="AB4" s="51">
        <f t="shared" si="3"/>
        <v>108</v>
      </c>
      <c r="AC4" s="51">
        <f t="shared" si="3"/>
        <v>112</v>
      </c>
      <c r="AD4" s="51">
        <f t="shared" si="3"/>
        <v>116</v>
      </c>
      <c r="AE4" s="51">
        <f t="shared" si="3"/>
        <v>120</v>
      </c>
      <c r="AF4" s="51">
        <f t="shared" si="3"/>
        <v>124</v>
      </c>
      <c r="AG4" s="51">
        <f t="shared" si="3"/>
        <v>128</v>
      </c>
      <c r="AH4" s="51">
        <f t="shared" si="3"/>
        <v>132</v>
      </c>
      <c r="AI4" s="51">
        <f t="shared" si="3"/>
        <v>136</v>
      </c>
      <c r="AJ4" s="51">
        <f t="shared" si="3"/>
        <v>140</v>
      </c>
      <c r="AK4" s="51">
        <f t="shared" si="3"/>
        <v>144</v>
      </c>
      <c r="AL4" s="51">
        <f t="shared" si="3"/>
        <v>148</v>
      </c>
      <c r="AM4" s="51">
        <f t="shared" si="3"/>
        <v>152</v>
      </c>
      <c r="AN4" s="51">
        <f t="shared" si="3"/>
        <v>156</v>
      </c>
      <c r="AO4" s="51">
        <f t="shared" si="3"/>
        <v>160</v>
      </c>
      <c r="AP4" s="51">
        <f t="shared" si="3"/>
        <v>164</v>
      </c>
      <c r="AQ4" s="51">
        <f t="shared" si="3"/>
        <v>168</v>
      </c>
      <c r="AR4" s="51">
        <f t="shared" si="3"/>
        <v>172</v>
      </c>
      <c r="AS4" s="51">
        <f t="shared" si="3"/>
        <v>176</v>
      </c>
      <c r="AT4" s="51">
        <f t="shared" si="3"/>
        <v>180</v>
      </c>
      <c r="AU4" s="51">
        <f t="shared" si="3"/>
        <v>184</v>
      </c>
      <c r="AV4" s="51">
        <f t="shared" si="3"/>
        <v>188</v>
      </c>
      <c r="AW4" s="51">
        <f t="shared" ref="AW4:BM4" si="4">SUM(AW14*$B4)</f>
        <v>192</v>
      </c>
      <c r="AX4" s="51">
        <f t="shared" si="4"/>
        <v>196</v>
      </c>
      <c r="AY4" s="51">
        <f t="shared" si="4"/>
        <v>200</v>
      </c>
      <c r="AZ4" s="51">
        <f t="shared" si="4"/>
        <v>204</v>
      </c>
      <c r="BA4" s="51">
        <f t="shared" si="4"/>
        <v>208</v>
      </c>
      <c r="BB4" s="51">
        <f t="shared" si="4"/>
        <v>212</v>
      </c>
      <c r="BC4" s="51">
        <f t="shared" si="4"/>
        <v>216</v>
      </c>
      <c r="BD4" s="51">
        <f t="shared" si="4"/>
        <v>220</v>
      </c>
      <c r="BE4" s="51">
        <f t="shared" si="4"/>
        <v>224</v>
      </c>
      <c r="BF4" s="51">
        <f t="shared" si="4"/>
        <v>228</v>
      </c>
      <c r="BG4" s="51">
        <f t="shared" si="4"/>
        <v>232</v>
      </c>
      <c r="BH4" s="51">
        <f t="shared" si="4"/>
        <v>236</v>
      </c>
      <c r="BI4" s="51">
        <f t="shared" si="4"/>
        <v>240</v>
      </c>
      <c r="BJ4" s="51">
        <f t="shared" si="4"/>
        <v>244</v>
      </c>
      <c r="BK4" s="51">
        <f t="shared" si="4"/>
        <v>248</v>
      </c>
      <c r="BL4" s="51">
        <f t="shared" si="4"/>
        <v>252</v>
      </c>
      <c r="BM4" s="52">
        <f t="shared" si="4"/>
        <v>256</v>
      </c>
    </row>
    <row r="5" spans="1:65" s="5" customFormat="1" ht="14" customHeight="1">
      <c r="A5" s="212"/>
      <c r="B5" s="17" t="s">
        <v>41</v>
      </c>
      <c r="C5" s="200" t="s">
        <v>40</v>
      </c>
      <c r="D5" s="201" t="s">
        <v>40</v>
      </c>
      <c r="E5" s="103">
        <f t="shared" ref="E5:K5" si="5">E4</f>
        <v>24</v>
      </c>
      <c r="F5" s="99">
        <f t="shared" si="5"/>
        <v>30</v>
      </c>
      <c r="G5" s="99">
        <f t="shared" si="5"/>
        <v>36</v>
      </c>
      <c r="H5" s="99">
        <f t="shared" si="5"/>
        <v>42</v>
      </c>
      <c r="I5" s="99">
        <f t="shared" si="5"/>
        <v>48</v>
      </c>
      <c r="J5" s="99">
        <f t="shared" si="5"/>
        <v>54</v>
      </c>
      <c r="K5" s="99">
        <f t="shared" si="5"/>
        <v>60</v>
      </c>
      <c r="L5" s="99">
        <f>L4</f>
        <v>66</v>
      </c>
      <c r="M5" s="99">
        <f t="shared" ref="M5:O5" si="6">SUM(M4*0.6666666666)</f>
        <v>47.9999999952</v>
      </c>
      <c r="N5" s="99">
        <f t="shared" si="6"/>
        <v>51.9999999948</v>
      </c>
      <c r="O5" s="99">
        <f t="shared" si="6"/>
        <v>55.9999999944</v>
      </c>
      <c r="P5" s="99">
        <f>SUM(P4*0.6666666666)</f>
        <v>59.999999994</v>
      </c>
      <c r="Q5" s="103">
        <f>Q4</f>
        <v>64</v>
      </c>
      <c r="R5" s="34">
        <f t="shared" ref="R5:AV5" si="7">R4</f>
        <v>68</v>
      </c>
      <c r="S5" s="34">
        <f t="shared" si="7"/>
        <v>72</v>
      </c>
      <c r="T5" s="34">
        <f t="shared" si="7"/>
        <v>76</v>
      </c>
      <c r="U5" s="34">
        <f t="shared" si="7"/>
        <v>80</v>
      </c>
      <c r="V5" s="34">
        <f t="shared" si="7"/>
        <v>84</v>
      </c>
      <c r="W5" s="34">
        <f t="shared" si="7"/>
        <v>88</v>
      </c>
      <c r="X5" s="34">
        <f t="shared" si="7"/>
        <v>92</v>
      </c>
      <c r="Y5" s="34">
        <f t="shared" si="7"/>
        <v>96</v>
      </c>
      <c r="Z5" s="34">
        <f t="shared" si="7"/>
        <v>100</v>
      </c>
      <c r="AA5" s="34">
        <f t="shared" si="7"/>
        <v>104</v>
      </c>
      <c r="AB5" s="34">
        <f t="shared" si="7"/>
        <v>108</v>
      </c>
      <c r="AC5" s="34">
        <f t="shared" si="7"/>
        <v>112</v>
      </c>
      <c r="AD5" s="34">
        <f t="shared" si="7"/>
        <v>116</v>
      </c>
      <c r="AE5" s="34">
        <f t="shared" si="7"/>
        <v>120</v>
      </c>
      <c r="AF5" s="34">
        <f t="shared" si="7"/>
        <v>124</v>
      </c>
      <c r="AG5" s="34">
        <f t="shared" si="7"/>
        <v>128</v>
      </c>
      <c r="AH5" s="34">
        <f t="shared" si="7"/>
        <v>132</v>
      </c>
      <c r="AI5" s="34">
        <f t="shared" si="7"/>
        <v>136</v>
      </c>
      <c r="AJ5" s="34">
        <f t="shared" si="7"/>
        <v>140</v>
      </c>
      <c r="AK5" s="34">
        <f t="shared" si="7"/>
        <v>144</v>
      </c>
      <c r="AL5" s="34">
        <f t="shared" si="7"/>
        <v>148</v>
      </c>
      <c r="AM5" s="34">
        <f t="shared" si="7"/>
        <v>152</v>
      </c>
      <c r="AN5" s="34">
        <f t="shared" si="7"/>
        <v>156</v>
      </c>
      <c r="AO5" s="34">
        <f t="shared" si="7"/>
        <v>160</v>
      </c>
      <c r="AP5" s="34">
        <f t="shared" si="7"/>
        <v>164</v>
      </c>
      <c r="AQ5" s="34">
        <f t="shared" si="7"/>
        <v>168</v>
      </c>
      <c r="AR5" s="34">
        <f t="shared" si="7"/>
        <v>172</v>
      </c>
      <c r="AS5" s="34">
        <f t="shared" si="7"/>
        <v>176</v>
      </c>
      <c r="AT5" s="34">
        <f t="shared" si="7"/>
        <v>180</v>
      </c>
      <c r="AU5" s="34">
        <f t="shared" si="7"/>
        <v>184</v>
      </c>
      <c r="AV5" s="34">
        <f t="shared" si="7"/>
        <v>188</v>
      </c>
      <c r="AW5" s="59">
        <f t="shared" ref="AW5:BM5" si="8">SUM(AW4*0.6666666666)</f>
        <v>127.9999999872</v>
      </c>
      <c r="AX5" s="59">
        <f t="shared" si="8"/>
        <v>130.6666666536</v>
      </c>
      <c r="AY5" s="59">
        <f t="shared" si="8"/>
        <v>133.33333331999998</v>
      </c>
      <c r="AZ5" s="59">
        <f t="shared" si="8"/>
        <v>135.99999998639998</v>
      </c>
      <c r="BA5" s="59">
        <f t="shared" si="8"/>
        <v>138.66666665279999</v>
      </c>
      <c r="BB5" s="59">
        <f t="shared" si="8"/>
        <v>141.33333331919999</v>
      </c>
      <c r="BC5" s="59">
        <f t="shared" si="8"/>
        <v>143.9999999856</v>
      </c>
      <c r="BD5" s="59">
        <f t="shared" si="8"/>
        <v>146.666666652</v>
      </c>
      <c r="BE5" s="59">
        <f t="shared" si="8"/>
        <v>149.33333331839998</v>
      </c>
      <c r="BF5" s="59">
        <f t="shared" si="8"/>
        <v>151.99999998479998</v>
      </c>
      <c r="BG5" s="59">
        <f t="shared" si="8"/>
        <v>154.66666665119999</v>
      </c>
      <c r="BH5" s="59">
        <f t="shared" si="8"/>
        <v>157.33333331759999</v>
      </c>
      <c r="BI5" s="59">
        <f t="shared" si="8"/>
        <v>159.999999984</v>
      </c>
      <c r="BJ5" s="59">
        <f t="shared" si="8"/>
        <v>162.6666666504</v>
      </c>
      <c r="BK5" s="59">
        <f t="shared" si="8"/>
        <v>165.33333331679998</v>
      </c>
      <c r="BL5" s="59">
        <f t="shared" si="8"/>
        <v>167.99999998319998</v>
      </c>
      <c r="BM5" s="59">
        <f t="shared" si="8"/>
        <v>170.66666664959999</v>
      </c>
    </row>
    <row r="6" spans="1:65" s="5" customFormat="1" ht="14" customHeight="1">
      <c r="A6" s="212"/>
      <c r="B6" s="17" t="s">
        <v>42</v>
      </c>
      <c r="C6" s="200" t="s">
        <v>40</v>
      </c>
      <c r="D6" s="201" t="s">
        <v>40</v>
      </c>
      <c r="E6" s="103"/>
      <c r="F6" s="99"/>
      <c r="G6" s="99"/>
      <c r="H6" s="99"/>
      <c r="I6" s="99"/>
      <c r="J6" s="99"/>
      <c r="K6" s="99"/>
      <c r="L6" s="99"/>
      <c r="M6" s="99">
        <f t="shared" ref="M6:O6" si="9">SUM(M4*0.33333333333)</f>
        <v>23.99999999976</v>
      </c>
      <c r="N6" s="99">
        <f t="shared" si="9"/>
        <v>25.999999999739998</v>
      </c>
      <c r="O6" s="99">
        <f t="shared" si="9"/>
        <v>27.99999999972</v>
      </c>
      <c r="P6" s="99">
        <f>SUM(P4*0.33333333333)</f>
        <v>29.999999999699998</v>
      </c>
      <c r="Q6" s="103"/>
      <c r="R6" s="34"/>
      <c r="S6" s="34"/>
      <c r="T6" s="34"/>
      <c r="U6" s="34"/>
      <c r="V6" s="34"/>
      <c r="W6" s="34"/>
      <c r="X6" s="34"/>
      <c r="Y6" s="34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59">
        <f t="shared" ref="AW6:BM6" si="10">SUM(AW4*0.33333333333)</f>
        <v>63.99999999936</v>
      </c>
      <c r="AX6" s="59">
        <f t="shared" si="10"/>
        <v>65.333333332679999</v>
      </c>
      <c r="AY6" s="59">
        <f t="shared" si="10"/>
        <v>66.666666665999998</v>
      </c>
      <c r="AZ6" s="59">
        <f t="shared" si="10"/>
        <v>67.999999999319996</v>
      </c>
      <c r="BA6" s="59">
        <f t="shared" si="10"/>
        <v>69.333333332639995</v>
      </c>
      <c r="BB6" s="59">
        <f t="shared" si="10"/>
        <v>70.666666665959994</v>
      </c>
      <c r="BC6" s="59">
        <f t="shared" si="10"/>
        <v>71.999999999279993</v>
      </c>
      <c r="BD6" s="59">
        <f t="shared" si="10"/>
        <v>73.333333332599992</v>
      </c>
      <c r="BE6" s="59">
        <f t="shared" si="10"/>
        <v>74.66666666591999</v>
      </c>
      <c r="BF6" s="59">
        <f t="shared" si="10"/>
        <v>75.999999999239989</v>
      </c>
      <c r="BG6" s="59">
        <f t="shared" si="10"/>
        <v>77.333333332560002</v>
      </c>
      <c r="BH6" s="59">
        <f t="shared" si="10"/>
        <v>78.666666665880001</v>
      </c>
      <c r="BI6" s="59">
        <f t="shared" si="10"/>
        <v>79.9999999992</v>
      </c>
      <c r="BJ6" s="59">
        <f t="shared" si="10"/>
        <v>81.333333332519999</v>
      </c>
      <c r="BK6" s="59">
        <f t="shared" si="10"/>
        <v>82.666666665839998</v>
      </c>
      <c r="BL6" s="59">
        <f t="shared" si="10"/>
        <v>83.999999999159996</v>
      </c>
      <c r="BM6" s="59">
        <f t="shared" si="10"/>
        <v>85.333333332479995</v>
      </c>
    </row>
    <row r="7" spans="1:65" s="5" customFormat="1" ht="16" customHeight="1">
      <c r="A7" s="636"/>
      <c r="B7" s="15" t="s">
        <v>6</v>
      </c>
      <c r="C7" s="200" t="s">
        <v>40</v>
      </c>
      <c r="D7" s="201" t="s">
        <v>40</v>
      </c>
      <c r="E7" s="192">
        <f t="shared" ref="E7:AU7" si="11">IF(E8="CART Net",SUM(E5/2),IF(E8="TEAM Net",SUM(E5/4),""))</f>
        <v>12</v>
      </c>
      <c r="F7" s="32">
        <f t="shared" si="11"/>
        <v>15</v>
      </c>
      <c r="G7" s="32">
        <f t="shared" si="11"/>
        <v>18</v>
      </c>
      <c r="H7" s="32">
        <f t="shared" si="11"/>
        <v>21</v>
      </c>
      <c r="I7" s="32">
        <f t="shared" si="11"/>
        <v>24</v>
      </c>
      <c r="J7" s="32">
        <f t="shared" si="11"/>
        <v>27</v>
      </c>
      <c r="K7" s="32">
        <f t="shared" si="11"/>
        <v>30</v>
      </c>
      <c r="L7" s="32">
        <f t="shared" si="11"/>
        <v>33</v>
      </c>
      <c r="M7" s="32">
        <f t="shared" si="11"/>
        <v>23.9999999976</v>
      </c>
      <c r="N7" s="32">
        <f t="shared" si="11"/>
        <v>25.9999999974</v>
      </c>
      <c r="O7" s="32">
        <f t="shared" si="11"/>
        <v>27.9999999972</v>
      </c>
      <c r="P7" s="190">
        <f t="shared" si="11"/>
        <v>29.999999997</v>
      </c>
      <c r="Q7" s="192">
        <f t="shared" si="11"/>
        <v>16</v>
      </c>
      <c r="R7" s="32">
        <f t="shared" si="11"/>
        <v>17</v>
      </c>
      <c r="S7" s="32">
        <f t="shared" si="11"/>
        <v>18</v>
      </c>
      <c r="T7" s="32">
        <f t="shared" si="11"/>
        <v>19</v>
      </c>
      <c r="U7" s="32">
        <f t="shared" si="11"/>
        <v>20</v>
      </c>
      <c r="V7" s="32">
        <f t="shared" si="11"/>
        <v>21</v>
      </c>
      <c r="W7" s="32">
        <f t="shared" si="11"/>
        <v>22</v>
      </c>
      <c r="X7" s="32">
        <f t="shared" si="11"/>
        <v>23</v>
      </c>
      <c r="Y7" s="32">
        <f t="shared" si="11"/>
        <v>24</v>
      </c>
      <c r="Z7" s="32">
        <f t="shared" si="11"/>
        <v>25</v>
      </c>
      <c r="AA7" s="32">
        <f t="shared" si="11"/>
        <v>26</v>
      </c>
      <c r="AB7" s="32">
        <f t="shared" si="11"/>
        <v>27</v>
      </c>
      <c r="AC7" s="32">
        <f t="shared" si="11"/>
        <v>28</v>
      </c>
      <c r="AD7" s="32">
        <f t="shared" si="11"/>
        <v>29</v>
      </c>
      <c r="AE7" s="32">
        <f t="shared" si="11"/>
        <v>30</v>
      </c>
      <c r="AF7" s="32">
        <f t="shared" si="11"/>
        <v>31</v>
      </c>
      <c r="AG7" s="32">
        <f t="shared" si="11"/>
        <v>32</v>
      </c>
      <c r="AH7" s="32">
        <f t="shared" si="11"/>
        <v>33</v>
      </c>
      <c r="AI7" s="32">
        <f t="shared" si="11"/>
        <v>34</v>
      </c>
      <c r="AJ7" s="32">
        <f t="shared" si="11"/>
        <v>35</v>
      </c>
      <c r="AK7" s="32">
        <f t="shared" si="11"/>
        <v>36</v>
      </c>
      <c r="AL7" s="32">
        <f t="shared" si="11"/>
        <v>37</v>
      </c>
      <c r="AM7" s="32">
        <f t="shared" si="11"/>
        <v>38</v>
      </c>
      <c r="AN7" s="32">
        <f t="shared" si="11"/>
        <v>39</v>
      </c>
      <c r="AO7" s="32">
        <f t="shared" si="11"/>
        <v>40</v>
      </c>
      <c r="AP7" s="32">
        <f t="shared" si="11"/>
        <v>41</v>
      </c>
      <c r="AQ7" s="32">
        <f t="shared" si="11"/>
        <v>42</v>
      </c>
      <c r="AR7" s="32">
        <f t="shared" si="11"/>
        <v>43</v>
      </c>
      <c r="AS7" s="32">
        <f t="shared" si="11"/>
        <v>44</v>
      </c>
      <c r="AT7" s="32">
        <f t="shared" si="11"/>
        <v>45</v>
      </c>
      <c r="AU7" s="32">
        <f t="shared" si="11"/>
        <v>46</v>
      </c>
      <c r="AV7" s="32">
        <f>IF(AV8="CART Net",SUM(AV5/2),IF(AV8="TEAM Net",SUM(AV5/4),""))</f>
        <v>47</v>
      </c>
      <c r="AW7" s="32">
        <f>IF(AW8="CART Net",SUM(AW5/2),IF(AW8="TEAM Net",SUM(AW5/4),""))</f>
        <v>31.9999999968</v>
      </c>
      <c r="AX7" s="32">
        <f t="shared" ref="AX7:BM7" si="12">IF(AX8="CART Net",SUM(AX5/2),IF(AX8="TEAM Net",SUM(AX5/4),""))</f>
        <v>32.666666663400001</v>
      </c>
      <c r="AY7" s="32">
        <f t="shared" si="12"/>
        <v>33.333333329999995</v>
      </c>
      <c r="AZ7" s="32">
        <f t="shared" si="12"/>
        <v>33.999999996599996</v>
      </c>
      <c r="BA7" s="32">
        <f t="shared" si="12"/>
        <v>34.666666663199997</v>
      </c>
      <c r="BB7" s="32">
        <f t="shared" si="12"/>
        <v>35.333333329799999</v>
      </c>
      <c r="BC7" s="32">
        <f t="shared" si="12"/>
        <v>35.9999999964</v>
      </c>
      <c r="BD7" s="32">
        <f t="shared" si="12"/>
        <v>36.666666663000001</v>
      </c>
      <c r="BE7" s="32">
        <f t="shared" si="12"/>
        <v>37.333333329599995</v>
      </c>
      <c r="BF7" s="32">
        <f t="shared" si="12"/>
        <v>37.999999996199996</v>
      </c>
      <c r="BG7" s="32">
        <f t="shared" si="12"/>
        <v>38.666666662799997</v>
      </c>
      <c r="BH7" s="32">
        <f t="shared" si="12"/>
        <v>39.333333329399998</v>
      </c>
      <c r="BI7" s="32">
        <f t="shared" si="12"/>
        <v>39.999999996</v>
      </c>
      <c r="BJ7" s="32">
        <f t="shared" si="12"/>
        <v>40.666666662600001</v>
      </c>
      <c r="BK7" s="32">
        <f t="shared" si="12"/>
        <v>41.333333329199995</v>
      </c>
      <c r="BL7" s="32">
        <f t="shared" si="12"/>
        <v>41.999999995799996</v>
      </c>
      <c r="BM7" s="32">
        <f t="shared" si="12"/>
        <v>42.666666662399997</v>
      </c>
    </row>
    <row r="8" spans="1:65" s="5" customFormat="1" ht="17" customHeight="1" thickBot="1">
      <c r="A8" s="637"/>
      <c r="B8" s="16"/>
      <c r="C8" s="202" t="s">
        <v>40</v>
      </c>
      <c r="D8" s="203" t="s">
        <v>40</v>
      </c>
      <c r="E8" s="193" t="s">
        <v>43</v>
      </c>
      <c r="F8" s="187" t="s">
        <v>43</v>
      </c>
      <c r="G8" s="187" t="s">
        <v>43</v>
      </c>
      <c r="H8" s="187" t="s">
        <v>43</v>
      </c>
      <c r="I8" s="187" t="s">
        <v>43</v>
      </c>
      <c r="J8" s="187" t="s">
        <v>43</v>
      </c>
      <c r="K8" s="187" t="s">
        <v>43</v>
      </c>
      <c r="L8" s="187" t="s">
        <v>43</v>
      </c>
      <c r="M8" s="187" t="s">
        <v>43</v>
      </c>
      <c r="N8" s="187" t="s">
        <v>43</v>
      </c>
      <c r="O8" s="187" t="s">
        <v>43</v>
      </c>
      <c r="P8" s="187" t="s">
        <v>43</v>
      </c>
      <c r="Q8" s="193" t="s">
        <v>44</v>
      </c>
      <c r="R8" s="187" t="s">
        <v>44</v>
      </c>
      <c r="S8" s="187" t="s">
        <v>44</v>
      </c>
      <c r="T8" s="187" t="s">
        <v>44</v>
      </c>
      <c r="U8" s="187" t="s">
        <v>44</v>
      </c>
      <c r="V8" s="187" t="s">
        <v>44</v>
      </c>
      <c r="W8" s="187" t="s">
        <v>44</v>
      </c>
      <c r="X8" s="187" t="s">
        <v>44</v>
      </c>
      <c r="Y8" s="187" t="s">
        <v>44</v>
      </c>
      <c r="Z8" s="187" t="s">
        <v>44</v>
      </c>
      <c r="AA8" s="187" t="s">
        <v>44</v>
      </c>
      <c r="AB8" s="187" t="s">
        <v>44</v>
      </c>
      <c r="AC8" s="187" t="s">
        <v>44</v>
      </c>
      <c r="AD8" s="187" t="s">
        <v>44</v>
      </c>
      <c r="AE8" s="187" t="s">
        <v>44</v>
      </c>
      <c r="AF8" s="187" t="s">
        <v>44</v>
      </c>
      <c r="AG8" s="187" t="s">
        <v>44</v>
      </c>
      <c r="AH8" s="187" t="s">
        <v>44</v>
      </c>
      <c r="AI8" s="187" t="s">
        <v>44</v>
      </c>
      <c r="AJ8" s="187" t="s">
        <v>44</v>
      </c>
      <c r="AK8" s="187" t="s">
        <v>44</v>
      </c>
      <c r="AL8" s="187" t="s">
        <v>44</v>
      </c>
      <c r="AM8" s="187" t="s">
        <v>44</v>
      </c>
      <c r="AN8" s="187" t="s">
        <v>44</v>
      </c>
      <c r="AO8" s="187" t="s">
        <v>44</v>
      </c>
      <c r="AP8" s="187" t="s">
        <v>44</v>
      </c>
      <c r="AQ8" s="187" t="s">
        <v>44</v>
      </c>
      <c r="AR8" s="187" t="s">
        <v>44</v>
      </c>
      <c r="AS8" s="187" t="s">
        <v>44</v>
      </c>
      <c r="AT8" s="187" t="s">
        <v>44</v>
      </c>
      <c r="AU8" s="187" t="s">
        <v>44</v>
      </c>
      <c r="AV8" s="187" t="s">
        <v>44</v>
      </c>
      <c r="AW8" s="187" t="s">
        <v>44</v>
      </c>
      <c r="AX8" s="187" t="s">
        <v>44</v>
      </c>
      <c r="AY8" s="187" t="s">
        <v>44</v>
      </c>
      <c r="AZ8" s="187" t="s">
        <v>44</v>
      </c>
      <c r="BA8" s="187" t="s">
        <v>44</v>
      </c>
      <c r="BB8" s="187" t="s">
        <v>44</v>
      </c>
      <c r="BC8" s="187" t="s">
        <v>44</v>
      </c>
      <c r="BD8" s="187" t="s">
        <v>44</v>
      </c>
      <c r="BE8" s="187" t="s">
        <v>44</v>
      </c>
      <c r="BF8" s="187" t="s">
        <v>44</v>
      </c>
      <c r="BG8" s="187" t="s">
        <v>44</v>
      </c>
      <c r="BH8" s="187" t="s">
        <v>44</v>
      </c>
      <c r="BI8" s="187" t="s">
        <v>44</v>
      </c>
      <c r="BJ8" s="187" t="s">
        <v>44</v>
      </c>
      <c r="BK8" s="187" t="s">
        <v>44</v>
      </c>
      <c r="BL8" s="187" t="s">
        <v>44</v>
      </c>
      <c r="BM8" s="187" t="s">
        <v>44</v>
      </c>
    </row>
    <row r="9" spans="1:65" ht="18">
      <c r="A9" s="35" t="s">
        <v>45</v>
      </c>
      <c r="B9" s="70">
        <v>2</v>
      </c>
      <c r="C9" s="198" t="s">
        <v>40</v>
      </c>
      <c r="D9" s="199" t="s">
        <v>40</v>
      </c>
      <c r="E9" s="209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91">
        <f>$B9*Q27</f>
        <v>32</v>
      </c>
      <c r="R9" s="61">
        <f>$B9*R27</f>
        <v>34</v>
      </c>
      <c r="S9" s="61">
        <f>$B9*S27</f>
        <v>36</v>
      </c>
      <c r="T9" s="61">
        <f>$B9*T27</f>
        <v>38</v>
      </c>
      <c r="U9" s="61">
        <f t="shared" ref="U9:BM9" si="13">SUM(U14*$B9)</f>
        <v>40</v>
      </c>
      <c r="V9" s="61">
        <f t="shared" si="13"/>
        <v>42</v>
      </c>
      <c r="W9" s="61">
        <f t="shared" si="13"/>
        <v>44</v>
      </c>
      <c r="X9" s="61">
        <f t="shared" si="13"/>
        <v>46</v>
      </c>
      <c r="Y9" s="61">
        <f t="shared" si="13"/>
        <v>48</v>
      </c>
      <c r="Z9" s="61">
        <f t="shared" si="13"/>
        <v>50</v>
      </c>
      <c r="AA9" s="61">
        <f t="shared" si="13"/>
        <v>52</v>
      </c>
      <c r="AB9" s="61">
        <f t="shared" si="13"/>
        <v>54</v>
      </c>
      <c r="AC9" s="61">
        <f t="shared" si="13"/>
        <v>56</v>
      </c>
      <c r="AD9" s="61">
        <f t="shared" si="13"/>
        <v>58</v>
      </c>
      <c r="AE9" s="61">
        <f t="shared" si="13"/>
        <v>60</v>
      </c>
      <c r="AF9" s="61">
        <f t="shared" si="13"/>
        <v>62</v>
      </c>
      <c r="AG9" s="61">
        <f t="shared" si="13"/>
        <v>64</v>
      </c>
      <c r="AH9" s="61">
        <f t="shared" si="13"/>
        <v>66</v>
      </c>
      <c r="AI9" s="61">
        <f t="shared" si="13"/>
        <v>68</v>
      </c>
      <c r="AJ9" s="61">
        <f t="shared" si="13"/>
        <v>70</v>
      </c>
      <c r="AK9" s="61">
        <f t="shared" si="13"/>
        <v>72</v>
      </c>
      <c r="AL9" s="61">
        <f t="shared" si="13"/>
        <v>74</v>
      </c>
      <c r="AM9" s="61">
        <f t="shared" si="13"/>
        <v>76</v>
      </c>
      <c r="AN9" s="61">
        <f t="shared" si="13"/>
        <v>78</v>
      </c>
      <c r="AO9" s="61">
        <f t="shared" si="13"/>
        <v>80</v>
      </c>
      <c r="AP9" s="61">
        <f t="shared" si="13"/>
        <v>82</v>
      </c>
      <c r="AQ9" s="61">
        <f t="shared" si="13"/>
        <v>84</v>
      </c>
      <c r="AR9" s="61">
        <f t="shared" si="13"/>
        <v>86</v>
      </c>
      <c r="AS9" s="61">
        <f t="shared" si="13"/>
        <v>88</v>
      </c>
      <c r="AT9" s="61">
        <f t="shared" si="13"/>
        <v>90</v>
      </c>
      <c r="AU9" s="61">
        <f t="shared" si="13"/>
        <v>92</v>
      </c>
      <c r="AV9" s="61">
        <f t="shared" si="13"/>
        <v>94</v>
      </c>
      <c r="AW9" s="61">
        <f t="shared" si="13"/>
        <v>96</v>
      </c>
      <c r="AX9" s="61">
        <f t="shared" si="13"/>
        <v>98</v>
      </c>
      <c r="AY9" s="61">
        <f t="shared" si="13"/>
        <v>100</v>
      </c>
      <c r="AZ9" s="61">
        <f t="shared" si="13"/>
        <v>102</v>
      </c>
      <c r="BA9" s="61">
        <f t="shared" si="13"/>
        <v>104</v>
      </c>
      <c r="BB9" s="61">
        <f t="shared" si="13"/>
        <v>106</v>
      </c>
      <c r="BC9" s="61">
        <f t="shared" si="13"/>
        <v>108</v>
      </c>
      <c r="BD9" s="61">
        <f t="shared" si="13"/>
        <v>110</v>
      </c>
      <c r="BE9" s="61">
        <f t="shared" si="13"/>
        <v>112</v>
      </c>
      <c r="BF9" s="61">
        <f t="shared" si="13"/>
        <v>114</v>
      </c>
      <c r="BG9" s="61">
        <f t="shared" si="13"/>
        <v>116</v>
      </c>
      <c r="BH9" s="61">
        <f t="shared" si="13"/>
        <v>118</v>
      </c>
      <c r="BI9" s="61">
        <f t="shared" si="13"/>
        <v>120</v>
      </c>
      <c r="BJ9" s="61">
        <f t="shared" si="13"/>
        <v>122</v>
      </c>
      <c r="BK9" s="61">
        <f t="shared" si="13"/>
        <v>124</v>
      </c>
      <c r="BL9" s="61">
        <f t="shared" si="13"/>
        <v>126</v>
      </c>
      <c r="BM9" s="62">
        <f t="shared" si="13"/>
        <v>128</v>
      </c>
    </row>
    <row r="10" spans="1:65" ht="16">
      <c r="A10" s="634" t="s">
        <v>46</v>
      </c>
      <c r="B10" s="635"/>
      <c r="C10" s="200" t="s">
        <v>40</v>
      </c>
      <c r="D10" s="201" t="s">
        <v>40</v>
      </c>
      <c r="E10" s="210" t="s">
        <v>47</v>
      </c>
      <c r="F10" s="186" t="s">
        <v>47</v>
      </c>
      <c r="G10" s="186" t="s">
        <v>47</v>
      </c>
      <c r="H10" s="186" t="s">
        <v>47</v>
      </c>
      <c r="I10" s="186" t="s">
        <v>47</v>
      </c>
      <c r="J10" s="186" t="s">
        <v>47</v>
      </c>
      <c r="K10" s="186" t="s">
        <v>47</v>
      </c>
      <c r="L10" s="186" t="s">
        <v>47</v>
      </c>
      <c r="M10" s="186" t="s">
        <v>47</v>
      </c>
      <c r="N10" s="186" t="s">
        <v>47</v>
      </c>
      <c r="O10" s="186" t="s">
        <v>47</v>
      </c>
      <c r="P10" s="186" t="s">
        <v>47</v>
      </c>
      <c r="Q10" s="194">
        <f t="shared" ref="Q10:T10" si="14">Q9*0.5</f>
        <v>16</v>
      </c>
      <c r="R10" s="6">
        <f t="shared" si="14"/>
        <v>17</v>
      </c>
      <c r="S10" s="6">
        <f t="shared" si="14"/>
        <v>18</v>
      </c>
      <c r="T10" s="6">
        <f t="shared" si="14"/>
        <v>19</v>
      </c>
      <c r="U10" s="6">
        <f t="shared" ref="U10" si="15">U9*0.5</f>
        <v>20</v>
      </c>
      <c r="V10" s="6">
        <f t="shared" ref="V10" si="16">V9*0.5</f>
        <v>21</v>
      </c>
      <c r="W10" s="6">
        <f t="shared" ref="W10" si="17">W9*0.5</f>
        <v>22</v>
      </c>
      <c r="X10" s="6">
        <f t="shared" ref="X10" si="18">X9*0.5</f>
        <v>23</v>
      </c>
      <c r="Y10" s="6">
        <f t="shared" ref="Y10" si="19">Y9*0.5</f>
        <v>24</v>
      </c>
      <c r="Z10" s="6">
        <f t="shared" ref="Z10" si="20">Z9*0.5</f>
        <v>25</v>
      </c>
      <c r="AA10" s="6">
        <f t="shared" ref="AA10" si="21">AA9*0.5</f>
        <v>26</v>
      </c>
      <c r="AB10" s="6">
        <f t="shared" ref="AB10" si="22">AB9*0.5</f>
        <v>27</v>
      </c>
      <c r="AC10" s="6">
        <f t="shared" ref="AC10" si="23">AC9*0.5</f>
        <v>28</v>
      </c>
      <c r="AD10" s="6">
        <f t="shared" ref="AD10" si="24">AD9*0.5</f>
        <v>29</v>
      </c>
      <c r="AE10" s="6">
        <f t="shared" ref="AE10" si="25">AE9*0.5</f>
        <v>30</v>
      </c>
      <c r="AF10" s="6">
        <f t="shared" ref="AF10" si="26">AF9*0.5</f>
        <v>31</v>
      </c>
      <c r="AG10" s="6">
        <f t="shared" ref="AG10" si="27">AG9*0.5</f>
        <v>32</v>
      </c>
      <c r="AH10" s="6">
        <f t="shared" ref="AH10" si="28">AH9*0.5</f>
        <v>33</v>
      </c>
      <c r="AI10" s="6">
        <f t="shared" ref="AI10" si="29">AI9*0.5</f>
        <v>34</v>
      </c>
      <c r="AJ10" s="6">
        <f t="shared" ref="AJ10" si="30">AJ9*0.5</f>
        <v>35</v>
      </c>
      <c r="AK10" s="6">
        <f t="shared" ref="AK10" si="31">AK9*0.5</f>
        <v>36</v>
      </c>
      <c r="AL10" s="6">
        <f t="shared" ref="AL10" si="32">AL9*0.5</f>
        <v>37</v>
      </c>
      <c r="AM10" s="6">
        <f t="shared" ref="AM10" si="33">AM9*0.5</f>
        <v>38</v>
      </c>
      <c r="AN10" s="6">
        <f t="shared" ref="AN10" si="34">AN9*0.5</f>
        <v>39</v>
      </c>
      <c r="AO10" s="6">
        <f t="shared" ref="AO10" si="35">AO9*0.5</f>
        <v>40</v>
      </c>
      <c r="AP10" s="6">
        <f t="shared" ref="AP10" si="36">AP9*0.5</f>
        <v>41</v>
      </c>
      <c r="AQ10" s="6">
        <f t="shared" ref="AQ10" si="37">AQ9*0.5</f>
        <v>42</v>
      </c>
      <c r="AR10" s="6">
        <f t="shared" ref="AR10" si="38">AR9*0.5</f>
        <v>43</v>
      </c>
      <c r="AS10" s="6">
        <f t="shared" ref="AS10" si="39">AS9*0.5</f>
        <v>44</v>
      </c>
      <c r="AT10" s="6">
        <f t="shared" ref="AT10" si="40">AT9*0.5</f>
        <v>45</v>
      </c>
      <c r="AU10" s="6">
        <f t="shared" ref="AU10" si="41">AU9*0.5</f>
        <v>46</v>
      </c>
      <c r="AV10" s="6">
        <f t="shared" ref="AV10" si="42">AV9*0.5</f>
        <v>47</v>
      </c>
      <c r="AW10" s="6">
        <f t="shared" ref="AW10" si="43">AW9*0.5</f>
        <v>48</v>
      </c>
      <c r="AX10" s="6">
        <f t="shared" ref="AX10" si="44">AX9*0.5</f>
        <v>49</v>
      </c>
      <c r="AY10" s="6">
        <f t="shared" ref="AY10" si="45">AY9*0.5</f>
        <v>50</v>
      </c>
      <c r="AZ10" s="6">
        <f t="shared" ref="AZ10" si="46">AZ9*0.5</f>
        <v>51</v>
      </c>
      <c r="BA10" s="6">
        <f t="shared" ref="BA10" si="47">BA9*0.5</f>
        <v>52</v>
      </c>
      <c r="BB10" s="6">
        <f t="shared" ref="BB10" si="48">BB9*0.5</f>
        <v>53</v>
      </c>
      <c r="BC10" s="6">
        <f t="shared" ref="BC10" si="49">BC9*0.5</f>
        <v>54</v>
      </c>
      <c r="BD10" s="6">
        <f t="shared" ref="BD10" si="50">BD9*0.5</f>
        <v>55</v>
      </c>
      <c r="BE10" s="6">
        <f t="shared" ref="BE10" si="51">BE9*0.5</f>
        <v>56</v>
      </c>
      <c r="BF10" s="6">
        <f t="shared" ref="BF10" si="52">BF9*0.5</f>
        <v>57</v>
      </c>
      <c r="BG10" s="6">
        <f t="shared" ref="BG10" si="53">BG9*0.5</f>
        <v>58</v>
      </c>
      <c r="BH10" s="6">
        <f t="shared" ref="BH10" si="54">BH9*0.5</f>
        <v>59</v>
      </c>
      <c r="BI10" s="6">
        <f t="shared" ref="BI10" si="55">BI9*0.5</f>
        <v>60</v>
      </c>
      <c r="BJ10" s="6">
        <f t="shared" ref="BJ10" si="56">BJ9*0.5</f>
        <v>61</v>
      </c>
      <c r="BK10" s="6">
        <f t="shared" ref="BK10" si="57">BK9*0.5</f>
        <v>62</v>
      </c>
      <c r="BL10" s="6">
        <f t="shared" ref="BL10" si="58">BL9*0.5</f>
        <v>63</v>
      </c>
      <c r="BM10" s="27">
        <f t="shared" ref="BM10" si="59">BM9*0.5</f>
        <v>64</v>
      </c>
    </row>
    <row r="11" spans="1:65" ht="17" thickBot="1">
      <c r="A11" s="630" t="s">
        <v>48</v>
      </c>
      <c r="B11" s="631"/>
      <c r="C11" s="202" t="s">
        <v>40</v>
      </c>
      <c r="D11" s="203" t="s">
        <v>40</v>
      </c>
      <c r="E11" s="211" t="s">
        <v>47</v>
      </c>
      <c r="F11" s="179" t="s">
        <v>47</v>
      </c>
      <c r="G11" s="179" t="s">
        <v>47</v>
      </c>
      <c r="H11" s="179" t="s">
        <v>47</v>
      </c>
      <c r="I11" s="179" t="s">
        <v>47</v>
      </c>
      <c r="J11" s="179" t="s">
        <v>47</v>
      </c>
      <c r="K11" s="179" t="s">
        <v>47</v>
      </c>
      <c r="L11" s="179" t="s">
        <v>47</v>
      </c>
      <c r="M11" s="179" t="s">
        <v>47</v>
      </c>
      <c r="N11" s="179" t="s">
        <v>47</v>
      </c>
      <c r="O11" s="179" t="s">
        <v>47</v>
      </c>
      <c r="P11" s="179" t="s">
        <v>47</v>
      </c>
      <c r="Q11" s="195">
        <f t="shared" ref="Q11:T11" si="60">Q10</f>
        <v>16</v>
      </c>
      <c r="R11" s="8">
        <f t="shared" si="60"/>
        <v>17</v>
      </c>
      <c r="S11" s="8">
        <f t="shared" si="60"/>
        <v>18</v>
      </c>
      <c r="T11" s="8">
        <f t="shared" si="60"/>
        <v>19</v>
      </c>
      <c r="U11" s="8">
        <f t="shared" ref="U11" si="61">U10</f>
        <v>20</v>
      </c>
      <c r="V11" s="8">
        <f t="shared" ref="V11" si="62">V10</f>
        <v>21</v>
      </c>
      <c r="W11" s="8">
        <f t="shared" ref="W11" si="63">W10</f>
        <v>22</v>
      </c>
      <c r="X11" s="8">
        <f t="shared" ref="X11" si="64">X10</f>
        <v>23</v>
      </c>
      <c r="Y11" s="8">
        <f t="shared" ref="Y11" si="65">Y10</f>
        <v>24</v>
      </c>
      <c r="Z11" s="8">
        <f t="shared" ref="Z11" si="66">Z10</f>
        <v>25</v>
      </c>
      <c r="AA11" s="8">
        <f t="shared" ref="AA11" si="67">AA10</f>
        <v>26</v>
      </c>
      <c r="AB11" s="8">
        <f t="shared" ref="AB11" si="68">AB10</f>
        <v>27</v>
      </c>
      <c r="AC11" s="8">
        <f t="shared" ref="AC11" si="69">AC10</f>
        <v>28</v>
      </c>
      <c r="AD11" s="8">
        <f t="shared" ref="AD11" si="70">AD10</f>
        <v>29</v>
      </c>
      <c r="AE11" s="8">
        <f t="shared" ref="AE11" si="71">AE10</f>
        <v>30</v>
      </c>
      <c r="AF11" s="8">
        <f t="shared" ref="AF11" si="72">AF10</f>
        <v>31</v>
      </c>
      <c r="AG11" s="8">
        <f t="shared" ref="AG11" si="73">AG10</f>
        <v>32</v>
      </c>
      <c r="AH11" s="8">
        <f t="shared" ref="AH11" si="74">AH10</f>
        <v>33</v>
      </c>
      <c r="AI11" s="8">
        <f t="shared" ref="AI11" si="75">AI10</f>
        <v>34</v>
      </c>
      <c r="AJ11" s="8">
        <f t="shared" ref="AJ11" si="76">AJ10</f>
        <v>35</v>
      </c>
      <c r="AK11" s="8">
        <f t="shared" ref="AK11" si="77">AK10</f>
        <v>36</v>
      </c>
      <c r="AL11" s="8">
        <f t="shared" ref="AL11" si="78">AL10</f>
        <v>37</v>
      </c>
      <c r="AM11" s="8">
        <f t="shared" ref="AM11" si="79">AM10</f>
        <v>38</v>
      </c>
      <c r="AN11" s="8">
        <f t="shared" ref="AN11" si="80">AN10</f>
        <v>39</v>
      </c>
      <c r="AO11" s="8">
        <f t="shared" ref="AO11" si="81">AO10</f>
        <v>40</v>
      </c>
      <c r="AP11" s="8">
        <f t="shared" ref="AP11" si="82">AP10</f>
        <v>41</v>
      </c>
      <c r="AQ11" s="8">
        <f t="shared" ref="AQ11" si="83">AQ10</f>
        <v>42</v>
      </c>
      <c r="AR11" s="8">
        <f t="shared" ref="AR11" si="84">AR10</f>
        <v>43</v>
      </c>
      <c r="AS11" s="8">
        <f t="shared" ref="AS11" si="85">AS10</f>
        <v>44</v>
      </c>
      <c r="AT11" s="8">
        <f t="shared" ref="AT11" si="86">AT10</f>
        <v>45</v>
      </c>
      <c r="AU11" s="8">
        <f t="shared" ref="AU11" si="87">AU10</f>
        <v>46</v>
      </c>
      <c r="AV11" s="8">
        <f t="shared" ref="AV11" si="88">AV10</f>
        <v>47</v>
      </c>
      <c r="AW11" s="8">
        <f t="shared" ref="AW11" si="89">AW10</f>
        <v>48</v>
      </c>
      <c r="AX11" s="8">
        <f t="shared" ref="AX11" si="90">AX10</f>
        <v>49</v>
      </c>
      <c r="AY11" s="8">
        <f t="shared" ref="AY11" si="91">AY10</f>
        <v>50</v>
      </c>
      <c r="AZ11" s="8">
        <f t="shared" ref="AZ11" si="92">AZ10</f>
        <v>51</v>
      </c>
      <c r="BA11" s="8">
        <f t="shared" ref="BA11" si="93">BA10</f>
        <v>52</v>
      </c>
      <c r="BB11" s="8">
        <f t="shared" ref="BB11" si="94">BB10</f>
        <v>53</v>
      </c>
      <c r="BC11" s="8">
        <f t="shared" ref="BC11" si="95">BC10</f>
        <v>54</v>
      </c>
      <c r="BD11" s="8">
        <f t="shared" ref="BD11" si="96">BD10</f>
        <v>55</v>
      </c>
      <c r="BE11" s="8">
        <f t="shared" ref="BE11" si="97">BE10</f>
        <v>56</v>
      </c>
      <c r="BF11" s="8">
        <f t="shared" ref="BF11" si="98">BF10</f>
        <v>57</v>
      </c>
      <c r="BG11" s="8">
        <f t="shared" ref="BG11" si="99">BG10</f>
        <v>58</v>
      </c>
      <c r="BH11" s="8">
        <f t="shared" ref="BH11" si="100">BH10</f>
        <v>59</v>
      </c>
      <c r="BI11" s="8">
        <f t="shared" ref="BI11" si="101">BI10</f>
        <v>60</v>
      </c>
      <c r="BJ11" s="8">
        <f t="shared" ref="BJ11" si="102">BJ10</f>
        <v>61</v>
      </c>
      <c r="BK11" s="8">
        <f t="shared" ref="BK11" si="103">BK10</f>
        <v>62</v>
      </c>
      <c r="BL11" s="8">
        <f t="shared" ref="BL11" si="104">BL10</f>
        <v>63</v>
      </c>
      <c r="BM11" s="11">
        <f t="shared" ref="BM11" si="105">BM10</f>
        <v>64</v>
      </c>
    </row>
    <row r="12" spans="1:65" ht="19" thickBot="1">
      <c r="A12" s="66" t="s">
        <v>49</v>
      </c>
      <c r="B12" s="71">
        <v>1</v>
      </c>
      <c r="C12" s="204" t="s">
        <v>40</v>
      </c>
      <c r="D12" s="207" t="s">
        <v>40</v>
      </c>
      <c r="E12" s="215">
        <f t="shared" ref="E12:H12" si="106">SUM(E14*$B12)</f>
        <v>4</v>
      </c>
      <c r="F12" s="64">
        <f t="shared" si="106"/>
        <v>5</v>
      </c>
      <c r="G12" s="64">
        <f t="shared" si="106"/>
        <v>6</v>
      </c>
      <c r="H12" s="64">
        <f t="shared" si="106"/>
        <v>7</v>
      </c>
      <c r="I12" s="64">
        <f t="shared" ref="I12:AN12" si="107">SUM(I14*$B12)</f>
        <v>8</v>
      </c>
      <c r="J12" s="64">
        <f t="shared" si="107"/>
        <v>9</v>
      </c>
      <c r="K12" s="64">
        <f t="shared" si="107"/>
        <v>10</v>
      </c>
      <c r="L12" s="64">
        <f t="shared" si="107"/>
        <v>11</v>
      </c>
      <c r="M12" s="64">
        <f t="shared" si="107"/>
        <v>12</v>
      </c>
      <c r="N12" s="64">
        <f t="shared" si="107"/>
        <v>13</v>
      </c>
      <c r="O12" s="64">
        <f t="shared" si="107"/>
        <v>14</v>
      </c>
      <c r="P12" s="64">
        <f t="shared" si="107"/>
        <v>15</v>
      </c>
      <c r="Q12" s="64">
        <f t="shared" si="107"/>
        <v>16</v>
      </c>
      <c r="R12" s="64">
        <f t="shared" si="107"/>
        <v>17</v>
      </c>
      <c r="S12" s="64">
        <f t="shared" si="107"/>
        <v>18</v>
      </c>
      <c r="T12" s="64">
        <f t="shared" si="107"/>
        <v>19</v>
      </c>
      <c r="U12" s="64">
        <f t="shared" si="107"/>
        <v>20</v>
      </c>
      <c r="V12" s="64">
        <f t="shared" si="107"/>
        <v>21</v>
      </c>
      <c r="W12" s="64">
        <f t="shared" si="107"/>
        <v>22</v>
      </c>
      <c r="X12" s="64">
        <f t="shared" si="107"/>
        <v>23</v>
      </c>
      <c r="Y12" s="64">
        <f t="shared" si="107"/>
        <v>24</v>
      </c>
      <c r="Z12" s="64">
        <f t="shared" si="107"/>
        <v>25</v>
      </c>
      <c r="AA12" s="64">
        <f t="shared" si="107"/>
        <v>26</v>
      </c>
      <c r="AB12" s="64">
        <f t="shared" si="107"/>
        <v>27</v>
      </c>
      <c r="AC12" s="64">
        <f t="shared" si="107"/>
        <v>28</v>
      </c>
      <c r="AD12" s="64">
        <f t="shared" si="107"/>
        <v>29</v>
      </c>
      <c r="AE12" s="64">
        <f t="shared" si="107"/>
        <v>30</v>
      </c>
      <c r="AF12" s="64">
        <f t="shared" si="107"/>
        <v>31</v>
      </c>
      <c r="AG12" s="64">
        <f t="shared" si="107"/>
        <v>32</v>
      </c>
      <c r="AH12" s="64">
        <f t="shared" si="107"/>
        <v>33</v>
      </c>
      <c r="AI12" s="64">
        <f t="shared" si="107"/>
        <v>34</v>
      </c>
      <c r="AJ12" s="64">
        <f t="shared" si="107"/>
        <v>35</v>
      </c>
      <c r="AK12" s="64">
        <f t="shared" si="107"/>
        <v>36</v>
      </c>
      <c r="AL12" s="64">
        <f t="shared" si="107"/>
        <v>37</v>
      </c>
      <c r="AM12" s="64">
        <f t="shared" si="107"/>
        <v>38</v>
      </c>
      <c r="AN12" s="64">
        <f t="shared" si="107"/>
        <v>39</v>
      </c>
      <c r="AO12" s="64">
        <f t="shared" ref="AO12:BM12" si="108">SUM(AO14*$B12)</f>
        <v>40</v>
      </c>
      <c r="AP12" s="64">
        <f t="shared" si="108"/>
        <v>41</v>
      </c>
      <c r="AQ12" s="64">
        <f t="shared" si="108"/>
        <v>42</v>
      </c>
      <c r="AR12" s="64">
        <f t="shared" si="108"/>
        <v>43</v>
      </c>
      <c r="AS12" s="64">
        <f t="shared" si="108"/>
        <v>44</v>
      </c>
      <c r="AT12" s="64">
        <f t="shared" si="108"/>
        <v>45</v>
      </c>
      <c r="AU12" s="64">
        <f t="shared" si="108"/>
        <v>46</v>
      </c>
      <c r="AV12" s="64">
        <f t="shared" si="108"/>
        <v>47</v>
      </c>
      <c r="AW12" s="64">
        <f t="shared" si="108"/>
        <v>48</v>
      </c>
      <c r="AX12" s="64">
        <f t="shared" si="108"/>
        <v>49</v>
      </c>
      <c r="AY12" s="64">
        <f t="shared" si="108"/>
        <v>50</v>
      </c>
      <c r="AZ12" s="64">
        <f t="shared" si="108"/>
        <v>51</v>
      </c>
      <c r="BA12" s="64">
        <f t="shared" si="108"/>
        <v>52</v>
      </c>
      <c r="BB12" s="64">
        <f t="shared" si="108"/>
        <v>53</v>
      </c>
      <c r="BC12" s="64">
        <f t="shared" si="108"/>
        <v>54</v>
      </c>
      <c r="BD12" s="64">
        <f t="shared" si="108"/>
        <v>55</v>
      </c>
      <c r="BE12" s="64">
        <f t="shared" si="108"/>
        <v>56</v>
      </c>
      <c r="BF12" s="64">
        <f t="shared" si="108"/>
        <v>57</v>
      </c>
      <c r="BG12" s="64">
        <f t="shared" si="108"/>
        <v>58</v>
      </c>
      <c r="BH12" s="64">
        <f t="shared" si="108"/>
        <v>59</v>
      </c>
      <c r="BI12" s="64">
        <f t="shared" si="108"/>
        <v>60</v>
      </c>
      <c r="BJ12" s="64">
        <f t="shared" si="108"/>
        <v>61</v>
      </c>
      <c r="BK12" s="64">
        <f t="shared" si="108"/>
        <v>62</v>
      </c>
      <c r="BL12" s="64">
        <f t="shared" si="108"/>
        <v>63</v>
      </c>
      <c r="BM12" s="65">
        <f t="shared" si="108"/>
        <v>64</v>
      </c>
    </row>
    <row r="13" spans="1:65" ht="17" thickBot="1"/>
    <row r="14" spans="1:65" s="14" customFormat="1" ht="21">
      <c r="A14" s="20" t="s">
        <v>25</v>
      </c>
      <c r="B14" s="21">
        <v>13</v>
      </c>
      <c r="C14" s="22">
        <v>2</v>
      </c>
      <c r="D14" s="23">
        <v>3</v>
      </c>
      <c r="E14" s="23">
        <v>4</v>
      </c>
      <c r="F14" s="23">
        <v>5</v>
      </c>
      <c r="G14" s="23">
        <v>6</v>
      </c>
      <c r="H14" s="23">
        <v>7</v>
      </c>
      <c r="I14" s="23">
        <v>8</v>
      </c>
      <c r="J14" s="23">
        <v>9</v>
      </c>
      <c r="K14" s="23">
        <v>10</v>
      </c>
      <c r="L14" s="23">
        <v>11</v>
      </c>
      <c r="M14" s="23">
        <v>12</v>
      </c>
      <c r="N14" s="23">
        <v>13</v>
      </c>
      <c r="O14" s="23">
        <v>14</v>
      </c>
      <c r="P14" s="23">
        <v>15</v>
      </c>
      <c r="Q14" s="24">
        <v>16</v>
      </c>
      <c r="R14" s="24">
        <v>17</v>
      </c>
      <c r="S14" s="24">
        <v>18</v>
      </c>
      <c r="T14" s="24">
        <v>19</v>
      </c>
      <c r="U14" s="24">
        <v>20</v>
      </c>
      <c r="V14" s="24">
        <v>21</v>
      </c>
      <c r="W14" s="24">
        <v>22</v>
      </c>
      <c r="X14" s="24">
        <v>23</v>
      </c>
      <c r="Y14" s="24">
        <v>24</v>
      </c>
      <c r="Z14" s="24">
        <v>25</v>
      </c>
      <c r="AA14" s="24">
        <v>26</v>
      </c>
      <c r="AB14" s="24">
        <v>27</v>
      </c>
      <c r="AC14" s="24">
        <v>28</v>
      </c>
      <c r="AD14" s="24">
        <v>29</v>
      </c>
      <c r="AE14" s="24">
        <v>30</v>
      </c>
      <c r="AF14" s="24">
        <v>31</v>
      </c>
      <c r="AG14" s="24">
        <v>32</v>
      </c>
      <c r="AH14" s="24">
        <v>33</v>
      </c>
      <c r="AI14" s="24">
        <v>34</v>
      </c>
      <c r="AJ14" s="24">
        <v>35</v>
      </c>
      <c r="AK14" s="24">
        <v>36</v>
      </c>
      <c r="AL14" s="24">
        <v>37</v>
      </c>
      <c r="AM14" s="24">
        <v>38</v>
      </c>
      <c r="AN14" s="24">
        <v>39</v>
      </c>
      <c r="AO14" s="24">
        <v>40</v>
      </c>
      <c r="AP14" s="24">
        <v>41</v>
      </c>
      <c r="AQ14" s="24">
        <v>42</v>
      </c>
      <c r="AR14" s="24">
        <v>43</v>
      </c>
      <c r="AS14" s="24">
        <v>44</v>
      </c>
      <c r="AT14" s="24">
        <v>45</v>
      </c>
      <c r="AU14" s="24">
        <v>46</v>
      </c>
      <c r="AV14" s="24">
        <v>47</v>
      </c>
      <c r="AW14" s="24">
        <v>48</v>
      </c>
      <c r="AX14" s="24">
        <v>49</v>
      </c>
      <c r="AY14" s="24">
        <v>50</v>
      </c>
      <c r="AZ14" s="24">
        <v>51</v>
      </c>
      <c r="BA14" s="24">
        <v>52</v>
      </c>
      <c r="BB14" s="24">
        <v>53</v>
      </c>
      <c r="BC14" s="24">
        <v>54</v>
      </c>
      <c r="BD14" s="24">
        <v>55</v>
      </c>
      <c r="BE14" s="24">
        <v>56</v>
      </c>
      <c r="BF14" s="24">
        <v>57</v>
      </c>
      <c r="BG14" s="24">
        <v>58</v>
      </c>
      <c r="BH14" s="24">
        <v>59</v>
      </c>
      <c r="BI14" s="24">
        <v>60</v>
      </c>
      <c r="BJ14" s="24">
        <v>61</v>
      </c>
      <c r="BK14" s="24">
        <v>62</v>
      </c>
      <c r="BL14" s="24">
        <v>63</v>
      </c>
      <c r="BM14" s="25">
        <v>64</v>
      </c>
    </row>
    <row r="15" spans="1:65" ht="19" customHeight="1" thickBot="1">
      <c r="A15" s="622" t="s">
        <v>38</v>
      </c>
      <c r="B15" s="623"/>
      <c r="C15" s="19">
        <f t="shared" ref="C15:AH15" si="109">SUM(C14*$B14)</f>
        <v>26</v>
      </c>
      <c r="D15" s="9">
        <f t="shared" si="109"/>
        <v>39</v>
      </c>
      <c r="E15" s="9">
        <f t="shared" si="109"/>
        <v>52</v>
      </c>
      <c r="F15" s="9">
        <f t="shared" si="109"/>
        <v>65</v>
      </c>
      <c r="G15" s="9">
        <f t="shared" si="109"/>
        <v>78</v>
      </c>
      <c r="H15" s="9">
        <f t="shared" si="109"/>
        <v>91</v>
      </c>
      <c r="I15" s="9">
        <f t="shared" si="109"/>
        <v>104</v>
      </c>
      <c r="J15" s="9">
        <f t="shared" si="109"/>
        <v>117</v>
      </c>
      <c r="K15" s="9">
        <f t="shared" si="109"/>
        <v>130</v>
      </c>
      <c r="L15" s="9">
        <f t="shared" si="109"/>
        <v>143</v>
      </c>
      <c r="M15" s="9">
        <f t="shared" si="109"/>
        <v>156</v>
      </c>
      <c r="N15" s="9">
        <f t="shared" si="109"/>
        <v>169</v>
      </c>
      <c r="O15" s="9">
        <f t="shared" si="109"/>
        <v>182</v>
      </c>
      <c r="P15" s="9">
        <f t="shared" si="109"/>
        <v>195</v>
      </c>
      <c r="Q15" s="9">
        <f t="shared" si="109"/>
        <v>208</v>
      </c>
      <c r="R15" s="9">
        <f t="shared" si="109"/>
        <v>221</v>
      </c>
      <c r="S15" s="9">
        <f t="shared" si="109"/>
        <v>234</v>
      </c>
      <c r="T15" s="9">
        <f t="shared" si="109"/>
        <v>247</v>
      </c>
      <c r="U15" s="9">
        <f t="shared" si="109"/>
        <v>260</v>
      </c>
      <c r="V15" s="9">
        <f t="shared" si="109"/>
        <v>273</v>
      </c>
      <c r="W15" s="9">
        <f t="shared" si="109"/>
        <v>286</v>
      </c>
      <c r="X15" s="9">
        <f t="shared" si="109"/>
        <v>299</v>
      </c>
      <c r="Y15" s="9">
        <f t="shared" si="109"/>
        <v>312</v>
      </c>
      <c r="Z15" s="9">
        <f t="shared" si="109"/>
        <v>325</v>
      </c>
      <c r="AA15" s="9">
        <f t="shared" si="109"/>
        <v>338</v>
      </c>
      <c r="AB15" s="9">
        <f t="shared" si="109"/>
        <v>351</v>
      </c>
      <c r="AC15" s="9">
        <f t="shared" si="109"/>
        <v>364</v>
      </c>
      <c r="AD15" s="9">
        <f t="shared" si="109"/>
        <v>377</v>
      </c>
      <c r="AE15" s="9">
        <f t="shared" si="109"/>
        <v>390</v>
      </c>
      <c r="AF15" s="9">
        <f t="shared" si="109"/>
        <v>403</v>
      </c>
      <c r="AG15" s="9">
        <f t="shared" si="109"/>
        <v>416</v>
      </c>
      <c r="AH15" s="9">
        <f t="shared" si="109"/>
        <v>429</v>
      </c>
      <c r="AI15" s="9">
        <f t="shared" ref="AI15:BM15" si="110">SUM(AI14*$B14)</f>
        <v>442</v>
      </c>
      <c r="AJ15" s="9">
        <f t="shared" si="110"/>
        <v>455</v>
      </c>
      <c r="AK15" s="9">
        <f t="shared" si="110"/>
        <v>468</v>
      </c>
      <c r="AL15" s="9">
        <f t="shared" si="110"/>
        <v>481</v>
      </c>
      <c r="AM15" s="9">
        <f t="shared" si="110"/>
        <v>494</v>
      </c>
      <c r="AN15" s="9">
        <f t="shared" si="110"/>
        <v>507</v>
      </c>
      <c r="AO15" s="9">
        <f t="shared" si="110"/>
        <v>520</v>
      </c>
      <c r="AP15" s="9">
        <f t="shared" si="110"/>
        <v>533</v>
      </c>
      <c r="AQ15" s="9">
        <f t="shared" si="110"/>
        <v>546</v>
      </c>
      <c r="AR15" s="9">
        <f t="shared" si="110"/>
        <v>559</v>
      </c>
      <c r="AS15" s="9">
        <f t="shared" si="110"/>
        <v>572</v>
      </c>
      <c r="AT15" s="9">
        <f t="shared" si="110"/>
        <v>585</v>
      </c>
      <c r="AU15" s="9">
        <f t="shared" si="110"/>
        <v>598</v>
      </c>
      <c r="AV15" s="9">
        <f t="shared" si="110"/>
        <v>611</v>
      </c>
      <c r="AW15" s="9">
        <f t="shared" si="110"/>
        <v>624</v>
      </c>
      <c r="AX15" s="9">
        <f t="shared" si="110"/>
        <v>637</v>
      </c>
      <c r="AY15" s="9">
        <f t="shared" si="110"/>
        <v>650</v>
      </c>
      <c r="AZ15" s="9">
        <f t="shared" si="110"/>
        <v>663</v>
      </c>
      <c r="BA15" s="9">
        <f t="shared" si="110"/>
        <v>676</v>
      </c>
      <c r="BB15" s="9">
        <f t="shared" si="110"/>
        <v>689</v>
      </c>
      <c r="BC15" s="9">
        <f t="shared" si="110"/>
        <v>702</v>
      </c>
      <c r="BD15" s="9">
        <f t="shared" si="110"/>
        <v>715</v>
      </c>
      <c r="BE15" s="9">
        <f t="shared" si="110"/>
        <v>728</v>
      </c>
      <c r="BF15" s="9">
        <f t="shared" si="110"/>
        <v>741</v>
      </c>
      <c r="BG15" s="9">
        <f t="shared" si="110"/>
        <v>754</v>
      </c>
      <c r="BH15" s="9">
        <f t="shared" si="110"/>
        <v>767</v>
      </c>
      <c r="BI15" s="9">
        <f t="shared" si="110"/>
        <v>780</v>
      </c>
      <c r="BJ15" s="9">
        <f t="shared" si="110"/>
        <v>793</v>
      </c>
      <c r="BK15" s="9">
        <f t="shared" si="110"/>
        <v>806</v>
      </c>
      <c r="BL15" s="9">
        <f t="shared" si="110"/>
        <v>819</v>
      </c>
      <c r="BM15" s="10">
        <f t="shared" si="110"/>
        <v>832</v>
      </c>
    </row>
    <row r="16" spans="1:65" ht="19" customHeight="1">
      <c r="A16" s="36" t="s">
        <v>50</v>
      </c>
      <c r="B16" s="69">
        <v>9</v>
      </c>
      <c r="C16" s="53">
        <f>SUM($B16*C14)</f>
        <v>18</v>
      </c>
      <c r="D16" s="53">
        <f t="shared" ref="D16:BM16" si="111">SUM($B16*D14)</f>
        <v>27</v>
      </c>
      <c r="E16" s="53">
        <f t="shared" si="111"/>
        <v>36</v>
      </c>
      <c r="F16" s="53">
        <f t="shared" si="111"/>
        <v>45</v>
      </c>
      <c r="G16" s="53">
        <f t="shared" si="111"/>
        <v>54</v>
      </c>
      <c r="H16" s="53">
        <f t="shared" si="111"/>
        <v>63</v>
      </c>
      <c r="I16" s="218">
        <f t="shared" si="111"/>
        <v>72</v>
      </c>
      <c r="J16" s="53">
        <f t="shared" si="111"/>
        <v>81</v>
      </c>
      <c r="K16" s="53">
        <f t="shared" si="111"/>
        <v>90</v>
      </c>
      <c r="L16" s="53">
        <f t="shared" si="111"/>
        <v>99</v>
      </c>
      <c r="M16" s="100">
        <f t="shared" si="111"/>
        <v>108</v>
      </c>
      <c r="N16" s="60">
        <f t="shared" si="111"/>
        <v>117</v>
      </c>
      <c r="O16" s="60">
        <f t="shared" si="111"/>
        <v>126</v>
      </c>
      <c r="P16" s="60">
        <f t="shared" si="111"/>
        <v>135</v>
      </c>
      <c r="Q16" s="53">
        <f t="shared" si="111"/>
        <v>144</v>
      </c>
      <c r="R16" s="53">
        <f t="shared" si="111"/>
        <v>153</v>
      </c>
      <c r="S16" s="53">
        <f t="shared" si="111"/>
        <v>162</v>
      </c>
      <c r="T16" s="53">
        <f t="shared" si="111"/>
        <v>171</v>
      </c>
      <c r="U16" s="53">
        <f t="shared" si="111"/>
        <v>180</v>
      </c>
      <c r="V16" s="53">
        <f t="shared" si="111"/>
        <v>189</v>
      </c>
      <c r="W16" s="53">
        <f t="shared" si="111"/>
        <v>198</v>
      </c>
      <c r="X16" s="53">
        <f t="shared" si="111"/>
        <v>207</v>
      </c>
      <c r="Y16" s="53">
        <f t="shared" si="111"/>
        <v>216</v>
      </c>
      <c r="Z16" s="53">
        <f t="shared" si="111"/>
        <v>225</v>
      </c>
      <c r="AA16" s="53">
        <f t="shared" si="111"/>
        <v>234</v>
      </c>
      <c r="AB16" s="53">
        <f t="shared" si="111"/>
        <v>243</v>
      </c>
      <c r="AC16" s="53">
        <f t="shared" si="111"/>
        <v>252</v>
      </c>
      <c r="AD16" s="53">
        <f t="shared" si="111"/>
        <v>261</v>
      </c>
      <c r="AE16" s="53">
        <f t="shared" si="111"/>
        <v>270</v>
      </c>
      <c r="AF16" s="53">
        <f t="shared" si="111"/>
        <v>279</v>
      </c>
      <c r="AG16" s="53">
        <f t="shared" si="111"/>
        <v>288</v>
      </c>
      <c r="AH16" s="53">
        <f t="shared" si="111"/>
        <v>297</v>
      </c>
      <c r="AI16" s="53">
        <f t="shared" si="111"/>
        <v>306</v>
      </c>
      <c r="AJ16" s="53">
        <f t="shared" si="111"/>
        <v>315</v>
      </c>
      <c r="AK16" s="53">
        <f t="shared" si="111"/>
        <v>324</v>
      </c>
      <c r="AL16" s="53">
        <f t="shared" si="111"/>
        <v>333</v>
      </c>
      <c r="AM16" s="53">
        <f t="shared" si="111"/>
        <v>342</v>
      </c>
      <c r="AN16" s="53">
        <f t="shared" si="111"/>
        <v>351</v>
      </c>
      <c r="AO16" s="53">
        <f t="shared" si="111"/>
        <v>360</v>
      </c>
      <c r="AP16" s="53">
        <f t="shared" si="111"/>
        <v>369</v>
      </c>
      <c r="AQ16" s="53">
        <f t="shared" si="111"/>
        <v>378</v>
      </c>
      <c r="AR16" s="53">
        <f t="shared" si="111"/>
        <v>387</v>
      </c>
      <c r="AS16" s="53">
        <f t="shared" si="111"/>
        <v>396</v>
      </c>
      <c r="AT16" s="53">
        <f t="shared" si="111"/>
        <v>405</v>
      </c>
      <c r="AU16" s="53">
        <f t="shared" si="111"/>
        <v>414</v>
      </c>
      <c r="AV16" s="53">
        <f t="shared" si="111"/>
        <v>423</v>
      </c>
      <c r="AW16" s="53">
        <f t="shared" si="111"/>
        <v>432</v>
      </c>
      <c r="AX16" s="53">
        <f t="shared" si="111"/>
        <v>441</v>
      </c>
      <c r="AY16" s="53">
        <f t="shared" si="111"/>
        <v>450</v>
      </c>
      <c r="AZ16" s="53">
        <f t="shared" si="111"/>
        <v>459</v>
      </c>
      <c r="BA16" s="53">
        <f t="shared" si="111"/>
        <v>468</v>
      </c>
      <c r="BB16" s="53">
        <f t="shared" si="111"/>
        <v>477</v>
      </c>
      <c r="BC16" s="53">
        <f t="shared" si="111"/>
        <v>486</v>
      </c>
      <c r="BD16" s="53">
        <f t="shared" si="111"/>
        <v>495</v>
      </c>
      <c r="BE16" s="53">
        <f t="shared" si="111"/>
        <v>504</v>
      </c>
      <c r="BF16" s="53">
        <f t="shared" si="111"/>
        <v>513</v>
      </c>
      <c r="BG16" s="53">
        <f t="shared" si="111"/>
        <v>522</v>
      </c>
      <c r="BH16" s="53">
        <f t="shared" si="111"/>
        <v>531</v>
      </c>
      <c r="BI16" s="53">
        <f t="shared" si="111"/>
        <v>540</v>
      </c>
      <c r="BJ16" s="53">
        <f t="shared" si="111"/>
        <v>549</v>
      </c>
      <c r="BK16" s="53">
        <f t="shared" si="111"/>
        <v>558</v>
      </c>
      <c r="BL16" s="53">
        <f t="shared" si="111"/>
        <v>567</v>
      </c>
      <c r="BM16" s="87">
        <f t="shared" si="111"/>
        <v>576</v>
      </c>
    </row>
    <row r="17" spans="1:65" s="5" customFormat="1" ht="14" customHeight="1">
      <c r="A17" s="626" t="s">
        <v>51</v>
      </c>
      <c r="B17" s="17" t="s">
        <v>41</v>
      </c>
      <c r="C17" s="33" t="s">
        <v>40</v>
      </c>
      <c r="D17" s="34" t="s">
        <v>40</v>
      </c>
      <c r="E17" s="34">
        <f t="shared" ref="E17" si="112">SUM(E16*1)</f>
        <v>36</v>
      </c>
      <c r="F17" s="34">
        <f>SUM(F16*1)</f>
        <v>45</v>
      </c>
      <c r="G17" s="34">
        <f>SUM(G16*1)</f>
        <v>54</v>
      </c>
      <c r="H17" s="99">
        <f>SUM(H16*1)</f>
        <v>63</v>
      </c>
      <c r="I17" s="99">
        <f>ROUND(SUM(I16*0.6666666),2)</f>
        <v>48</v>
      </c>
      <c r="J17" s="99">
        <f t="shared" ref="J17:L17" si="113">ROUND(SUM(J16*0.6666666),2)</f>
        <v>54</v>
      </c>
      <c r="K17" s="99">
        <f t="shared" si="113"/>
        <v>60</v>
      </c>
      <c r="L17" s="119">
        <f t="shared" si="113"/>
        <v>66</v>
      </c>
      <c r="M17" s="103">
        <f t="shared" ref="M17:P17" si="114">M16*0.5</f>
        <v>54</v>
      </c>
      <c r="N17" s="59">
        <f t="shared" si="114"/>
        <v>58.5</v>
      </c>
      <c r="O17" s="59">
        <f t="shared" si="114"/>
        <v>63</v>
      </c>
      <c r="P17" s="59">
        <f t="shared" si="114"/>
        <v>67.5</v>
      </c>
      <c r="Q17" s="34">
        <f>ROUND(SUM(Q16*0.5*0.66666666),2)</f>
        <v>48</v>
      </c>
      <c r="R17" s="34">
        <f t="shared" ref="R17:X17" si="115">ROUND(SUM(R16*0.5*0.66666666),2)</f>
        <v>51</v>
      </c>
      <c r="S17" s="34">
        <f t="shared" si="115"/>
        <v>54</v>
      </c>
      <c r="T17" s="34">
        <f t="shared" si="115"/>
        <v>57</v>
      </c>
      <c r="U17" s="34">
        <f t="shared" si="115"/>
        <v>60</v>
      </c>
      <c r="V17" s="34">
        <f t="shared" si="115"/>
        <v>63</v>
      </c>
      <c r="W17" s="34">
        <f t="shared" si="115"/>
        <v>66</v>
      </c>
      <c r="X17" s="34">
        <f t="shared" si="115"/>
        <v>69</v>
      </c>
      <c r="Y17" s="34">
        <f t="shared" ref="Y17:AB17" si="116">ROUND((SUM(Y16/2)*0.6666666666666),2)</f>
        <v>72</v>
      </c>
      <c r="Z17" s="7">
        <f t="shared" si="116"/>
        <v>75</v>
      </c>
      <c r="AA17" s="7">
        <f t="shared" si="116"/>
        <v>78</v>
      </c>
      <c r="AB17" s="7">
        <f t="shared" si="116"/>
        <v>81</v>
      </c>
      <c r="AC17" s="7">
        <f t="shared" ref="AC17:AF17" si="117">SUM(AC16/2)*0.5</f>
        <v>63</v>
      </c>
      <c r="AD17" s="7">
        <f t="shared" si="117"/>
        <v>65.25</v>
      </c>
      <c r="AE17" s="7">
        <f t="shared" si="117"/>
        <v>67.5</v>
      </c>
      <c r="AF17" s="7">
        <f t="shared" si="117"/>
        <v>69.75</v>
      </c>
      <c r="AG17" s="7">
        <f t="shared" ref="AG17:AJ17" si="118">SUM(AG16/2)*0.5</f>
        <v>72</v>
      </c>
      <c r="AH17" s="7">
        <f t="shared" si="118"/>
        <v>74.25</v>
      </c>
      <c r="AI17" s="7">
        <f t="shared" si="118"/>
        <v>76.5</v>
      </c>
      <c r="AJ17" s="7">
        <f t="shared" si="118"/>
        <v>78.75</v>
      </c>
      <c r="AK17" s="7">
        <f t="shared" ref="AK17:BL17" si="119">SUM(AK16/2)*0.5</f>
        <v>81</v>
      </c>
      <c r="AL17" s="7">
        <f t="shared" si="119"/>
        <v>83.25</v>
      </c>
      <c r="AM17" s="7">
        <f t="shared" si="119"/>
        <v>85.5</v>
      </c>
      <c r="AN17" s="7">
        <f t="shared" si="119"/>
        <v>87.75</v>
      </c>
      <c r="AO17" s="7">
        <f t="shared" si="119"/>
        <v>90</v>
      </c>
      <c r="AP17" s="7">
        <f t="shared" si="119"/>
        <v>92.25</v>
      </c>
      <c r="AQ17" s="7">
        <f t="shared" si="119"/>
        <v>94.5</v>
      </c>
      <c r="AR17" s="7">
        <f t="shared" si="119"/>
        <v>96.75</v>
      </c>
      <c r="AS17" s="7">
        <f t="shared" si="119"/>
        <v>99</v>
      </c>
      <c r="AT17" s="7">
        <f t="shared" si="119"/>
        <v>101.25</v>
      </c>
      <c r="AU17" s="7">
        <f t="shared" si="119"/>
        <v>103.5</v>
      </c>
      <c r="AV17" s="7">
        <f t="shared" si="119"/>
        <v>105.75</v>
      </c>
      <c r="AW17" s="7">
        <f t="shared" si="119"/>
        <v>108</v>
      </c>
      <c r="AX17" s="7">
        <f t="shared" si="119"/>
        <v>110.25</v>
      </c>
      <c r="AY17" s="7">
        <f t="shared" si="119"/>
        <v>112.5</v>
      </c>
      <c r="AZ17" s="7">
        <f t="shared" si="119"/>
        <v>114.75</v>
      </c>
      <c r="BA17" s="7">
        <f t="shared" si="119"/>
        <v>117</v>
      </c>
      <c r="BB17" s="7">
        <f t="shared" si="119"/>
        <v>119.25</v>
      </c>
      <c r="BC17" s="7">
        <f t="shared" si="119"/>
        <v>121.5</v>
      </c>
      <c r="BD17" s="7">
        <f t="shared" si="119"/>
        <v>123.75</v>
      </c>
      <c r="BE17" s="7">
        <f t="shared" si="119"/>
        <v>126</v>
      </c>
      <c r="BF17" s="7">
        <f t="shared" si="119"/>
        <v>128.25</v>
      </c>
      <c r="BG17" s="7">
        <f t="shared" si="119"/>
        <v>130.5</v>
      </c>
      <c r="BH17" s="7">
        <f t="shared" si="119"/>
        <v>132.75</v>
      </c>
      <c r="BI17" s="7">
        <f t="shared" si="119"/>
        <v>135</v>
      </c>
      <c r="BJ17" s="7">
        <f t="shared" si="119"/>
        <v>137.25</v>
      </c>
      <c r="BK17" s="7">
        <f t="shared" si="119"/>
        <v>139.5</v>
      </c>
      <c r="BL17" s="7">
        <f t="shared" si="119"/>
        <v>141.75</v>
      </c>
      <c r="BM17" s="88">
        <f>SUM(BM16/2)*0.5</f>
        <v>144</v>
      </c>
    </row>
    <row r="18" spans="1:65" s="5" customFormat="1" ht="14" customHeight="1">
      <c r="A18" s="627"/>
      <c r="B18" s="18" t="s">
        <v>42</v>
      </c>
      <c r="C18" s="39" t="s">
        <v>40</v>
      </c>
      <c r="D18" s="40" t="s">
        <v>40</v>
      </c>
      <c r="E18" s="40"/>
      <c r="F18" s="40"/>
      <c r="G18" s="40"/>
      <c r="H18" s="40"/>
      <c r="I18" s="121">
        <f>ROUND(SUM(I16*0.333333),2)</f>
        <v>24</v>
      </c>
      <c r="J18" s="120">
        <f t="shared" ref="J18:L18" si="120">ROUND(SUM(J16*0.333333),2)</f>
        <v>27</v>
      </c>
      <c r="K18" s="120">
        <f t="shared" si="120"/>
        <v>30</v>
      </c>
      <c r="L18" s="120">
        <f t="shared" si="120"/>
        <v>33</v>
      </c>
      <c r="M18" s="112"/>
      <c r="N18" s="40"/>
      <c r="O18" s="40"/>
      <c r="P18" s="113"/>
      <c r="Q18" s="38">
        <f>ROUND(SUM(Q16*0.5*0.33333333),2)</f>
        <v>24</v>
      </c>
      <c r="R18" s="38">
        <f t="shared" ref="R18:X18" si="121">ROUND(SUM(R16*0.5*0.33333333),2)</f>
        <v>25.5</v>
      </c>
      <c r="S18" s="38">
        <f t="shared" si="121"/>
        <v>27</v>
      </c>
      <c r="T18" s="38">
        <f t="shared" si="121"/>
        <v>28.5</v>
      </c>
      <c r="U18" s="38">
        <f t="shared" si="121"/>
        <v>30</v>
      </c>
      <c r="V18" s="38">
        <f t="shared" si="121"/>
        <v>31.5</v>
      </c>
      <c r="W18" s="38">
        <f t="shared" si="121"/>
        <v>33</v>
      </c>
      <c r="X18" s="38">
        <f t="shared" si="121"/>
        <v>34.5</v>
      </c>
      <c r="Y18" s="223">
        <f t="shared" ref="Y18:AB18" si="122">ROUND((SUM(Y16-Y17-Y20)/2),2)</f>
        <v>36</v>
      </c>
      <c r="Z18" s="224">
        <f t="shared" si="122"/>
        <v>37.5</v>
      </c>
      <c r="AA18" s="224">
        <f t="shared" si="122"/>
        <v>39</v>
      </c>
      <c r="AB18" s="224">
        <f t="shared" si="122"/>
        <v>40.5</v>
      </c>
      <c r="AC18" s="46">
        <f t="shared" ref="AC18:AF18" si="123">SUM(AC$16/2)*0.3</f>
        <v>37.799999999999997</v>
      </c>
      <c r="AD18" s="46">
        <f t="shared" si="123"/>
        <v>39.15</v>
      </c>
      <c r="AE18" s="46">
        <f t="shared" si="123"/>
        <v>40.5</v>
      </c>
      <c r="AF18" s="46">
        <f t="shared" si="123"/>
        <v>41.85</v>
      </c>
      <c r="AG18" s="46">
        <f t="shared" ref="AG18:AJ18" si="124">SUM(AG$16/2)*0.3</f>
        <v>43.199999999999996</v>
      </c>
      <c r="AH18" s="46">
        <f t="shared" si="124"/>
        <v>44.55</v>
      </c>
      <c r="AI18" s="46">
        <f t="shared" si="124"/>
        <v>45.9</v>
      </c>
      <c r="AJ18" s="46">
        <f t="shared" si="124"/>
        <v>47.25</v>
      </c>
      <c r="AK18" s="46">
        <f t="shared" ref="AK18:BL18" si="125">SUM(AK$16/2)*0.3</f>
        <v>48.6</v>
      </c>
      <c r="AL18" s="46">
        <f t="shared" si="125"/>
        <v>49.949999999999996</v>
      </c>
      <c r="AM18" s="46">
        <f t="shared" si="125"/>
        <v>51.3</v>
      </c>
      <c r="AN18" s="46">
        <f t="shared" si="125"/>
        <v>52.65</v>
      </c>
      <c r="AO18" s="46">
        <f t="shared" si="125"/>
        <v>54</v>
      </c>
      <c r="AP18" s="46">
        <f t="shared" si="125"/>
        <v>55.35</v>
      </c>
      <c r="AQ18" s="46">
        <f t="shared" si="125"/>
        <v>56.699999999999996</v>
      </c>
      <c r="AR18" s="46">
        <f t="shared" si="125"/>
        <v>58.05</v>
      </c>
      <c r="AS18" s="46">
        <f t="shared" si="125"/>
        <v>59.4</v>
      </c>
      <c r="AT18" s="46">
        <f t="shared" si="125"/>
        <v>60.75</v>
      </c>
      <c r="AU18" s="46">
        <f t="shared" si="125"/>
        <v>62.099999999999994</v>
      </c>
      <c r="AV18" s="46">
        <f t="shared" si="125"/>
        <v>63.449999999999996</v>
      </c>
      <c r="AW18" s="46">
        <f t="shared" si="125"/>
        <v>64.8</v>
      </c>
      <c r="AX18" s="46">
        <f t="shared" si="125"/>
        <v>66.149999999999991</v>
      </c>
      <c r="AY18" s="46">
        <f t="shared" si="125"/>
        <v>67.5</v>
      </c>
      <c r="AZ18" s="46">
        <f t="shared" si="125"/>
        <v>68.849999999999994</v>
      </c>
      <c r="BA18" s="46">
        <f t="shared" si="125"/>
        <v>70.2</v>
      </c>
      <c r="BB18" s="46">
        <f t="shared" si="125"/>
        <v>71.55</v>
      </c>
      <c r="BC18" s="46">
        <f t="shared" si="125"/>
        <v>72.899999999999991</v>
      </c>
      <c r="BD18" s="46">
        <f t="shared" si="125"/>
        <v>74.25</v>
      </c>
      <c r="BE18" s="46">
        <f t="shared" si="125"/>
        <v>75.599999999999994</v>
      </c>
      <c r="BF18" s="46">
        <f t="shared" si="125"/>
        <v>76.95</v>
      </c>
      <c r="BG18" s="46">
        <f t="shared" si="125"/>
        <v>78.3</v>
      </c>
      <c r="BH18" s="46">
        <f t="shared" si="125"/>
        <v>79.649999999999991</v>
      </c>
      <c r="BI18" s="46">
        <f t="shared" si="125"/>
        <v>81</v>
      </c>
      <c r="BJ18" s="46">
        <f t="shared" si="125"/>
        <v>82.35</v>
      </c>
      <c r="BK18" s="46">
        <f t="shared" si="125"/>
        <v>83.7</v>
      </c>
      <c r="BL18" s="46">
        <f t="shared" si="125"/>
        <v>85.05</v>
      </c>
      <c r="BM18" s="89">
        <f t="shared" ref="BM18" si="126">SUM(BM$16/2)*0.3</f>
        <v>86.399999999999991</v>
      </c>
    </row>
    <row r="19" spans="1:65" s="5" customFormat="1" ht="14" customHeight="1">
      <c r="A19" s="627"/>
      <c r="B19" s="49" t="s">
        <v>52</v>
      </c>
      <c r="C19" s="43" t="s">
        <v>40</v>
      </c>
      <c r="D19" s="44" t="s">
        <v>40</v>
      </c>
      <c r="E19" s="44"/>
      <c r="F19" s="44"/>
      <c r="G19" s="44"/>
      <c r="H19" s="44"/>
      <c r="I19" s="122"/>
      <c r="J19" s="44"/>
      <c r="K19" s="44"/>
      <c r="L19" s="101"/>
      <c r="M19" s="114"/>
      <c r="N19" s="101"/>
      <c r="O19" s="101"/>
      <c r="P19" s="115"/>
      <c r="Q19" s="220"/>
      <c r="R19" s="221"/>
      <c r="S19" s="221"/>
      <c r="T19" s="221"/>
      <c r="U19" s="221"/>
      <c r="V19" s="221"/>
      <c r="W19" s="221"/>
      <c r="X19" s="221"/>
      <c r="Y19" s="221"/>
      <c r="Z19" s="221"/>
      <c r="AA19" s="221"/>
      <c r="AB19" s="221"/>
      <c r="AC19" s="47">
        <f t="shared" ref="AC19:AF19" si="127">SUM(AC$16/2)*0.2</f>
        <v>25.200000000000003</v>
      </c>
      <c r="AD19" s="47">
        <f t="shared" si="127"/>
        <v>26.1</v>
      </c>
      <c r="AE19" s="47">
        <f t="shared" si="127"/>
        <v>27</v>
      </c>
      <c r="AF19" s="47">
        <f t="shared" si="127"/>
        <v>27.900000000000002</v>
      </c>
      <c r="AG19" s="47">
        <f t="shared" ref="AG19:AJ19" si="128">SUM(AG$16/2)*0.2</f>
        <v>28.8</v>
      </c>
      <c r="AH19" s="47">
        <f t="shared" si="128"/>
        <v>29.700000000000003</v>
      </c>
      <c r="AI19" s="47">
        <f t="shared" si="128"/>
        <v>30.6</v>
      </c>
      <c r="AJ19" s="47">
        <f t="shared" si="128"/>
        <v>31.5</v>
      </c>
      <c r="AK19" s="47">
        <f t="shared" ref="AK19:BL19" si="129">SUM(AK$16/2)*0.2</f>
        <v>32.4</v>
      </c>
      <c r="AL19" s="47">
        <f t="shared" si="129"/>
        <v>33.300000000000004</v>
      </c>
      <c r="AM19" s="47">
        <f t="shared" si="129"/>
        <v>34.200000000000003</v>
      </c>
      <c r="AN19" s="47">
        <f t="shared" si="129"/>
        <v>35.1</v>
      </c>
      <c r="AO19" s="47">
        <f t="shared" si="129"/>
        <v>36</v>
      </c>
      <c r="AP19" s="47">
        <f t="shared" si="129"/>
        <v>36.9</v>
      </c>
      <c r="AQ19" s="47">
        <f t="shared" si="129"/>
        <v>37.800000000000004</v>
      </c>
      <c r="AR19" s="47">
        <f t="shared" si="129"/>
        <v>38.700000000000003</v>
      </c>
      <c r="AS19" s="47">
        <f t="shared" si="129"/>
        <v>39.6</v>
      </c>
      <c r="AT19" s="47">
        <f t="shared" si="129"/>
        <v>40.5</v>
      </c>
      <c r="AU19" s="47">
        <f t="shared" si="129"/>
        <v>41.400000000000006</v>
      </c>
      <c r="AV19" s="47">
        <f t="shared" si="129"/>
        <v>42.300000000000004</v>
      </c>
      <c r="AW19" s="47">
        <f t="shared" si="129"/>
        <v>43.2</v>
      </c>
      <c r="AX19" s="47">
        <f t="shared" si="129"/>
        <v>44.1</v>
      </c>
      <c r="AY19" s="47">
        <f t="shared" si="129"/>
        <v>45</v>
      </c>
      <c r="AZ19" s="47">
        <f t="shared" si="129"/>
        <v>45.900000000000006</v>
      </c>
      <c r="BA19" s="47">
        <f t="shared" si="129"/>
        <v>46.800000000000004</v>
      </c>
      <c r="BB19" s="47">
        <f t="shared" si="129"/>
        <v>47.7</v>
      </c>
      <c r="BC19" s="47">
        <f t="shared" si="129"/>
        <v>48.6</v>
      </c>
      <c r="BD19" s="47">
        <f t="shared" si="129"/>
        <v>49.5</v>
      </c>
      <c r="BE19" s="47">
        <f t="shared" si="129"/>
        <v>50.400000000000006</v>
      </c>
      <c r="BF19" s="47">
        <f t="shared" si="129"/>
        <v>51.300000000000004</v>
      </c>
      <c r="BG19" s="47">
        <f t="shared" si="129"/>
        <v>52.2</v>
      </c>
      <c r="BH19" s="47">
        <f t="shared" si="129"/>
        <v>53.1</v>
      </c>
      <c r="BI19" s="47">
        <f t="shared" si="129"/>
        <v>54</v>
      </c>
      <c r="BJ19" s="47">
        <f t="shared" si="129"/>
        <v>54.900000000000006</v>
      </c>
      <c r="BK19" s="47">
        <f t="shared" si="129"/>
        <v>55.800000000000004</v>
      </c>
      <c r="BL19" s="47">
        <f t="shared" si="129"/>
        <v>56.7</v>
      </c>
      <c r="BM19" s="90">
        <f>SUM(BM$16/2)*0.2</f>
        <v>57.6</v>
      </c>
    </row>
    <row r="20" spans="1:65" s="5" customFormat="1" ht="14" customHeight="1">
      <c r="A20" s="628" t="s">
        <v>53</v>
      </c>
      <c r="B20" s="17" t="s">
        <v>41</v>
      </c>
      <c r="C20" s="41" t="s">
        <v>40</v>
      </c>
      <c r="D20" s="42" t="s">
        <v>40</v>
      </c>
      <c r="E20" s="42"/>
      <c r="F20" s="54"/>
      <c r="G20" s="54"/>
      <c r="H20" s="54"/>
      <c r="I20" s="123"/>
      <c r="J20" s="54"/>
      <c r="K20" s="54"/>
      <c r="L20" s="126"/>
      <c r="M20" s="103">
        <f t="shared" ref="M20:P20" si="130">M17</f>
        <v>54</v>
      </c>
      <c r="N20" s="59">
        <f t="shared" si="130"/>
        <v>58.5</v>
      </c>
      <c r="O20" s="59">
        <f t="shared" si="130"/>
        <v>63</v>
      </c>
      <c r="P20" s="59">
        <f t="shared" si="130"/>
        <v>67.5</v>
      </c>
      <c r="Q20" s="59">
        <f>Q17</f>
        <v>48</v>
      </c>
      <c r="R20" s="59">
        <f t="shared" ref="R20:X20" si="131">R17</f>
        <v>51</v>
      </c>
      <c r="S20" s="59">
        <f t="shared" si="131"/>
        <v>54</v>
      </c>
      <c r="T20" s="59">
        <f t="shared" si="131"/>
        <v>57</v>
      </c>
      <c r="U20" s="59">
        <f t="shared" si="131"/>
        <v>60</v>
      </c>
      <c r="V20" s="59">
        <f t="shared" si="131"/>
        <v>63</v>
      </c>
      <c r="W20" s="59">
        <f t="shared" si="131"/>
        <v>66</v>
      </c>
      <c r="X20" s="34">
        <f t="shared" si="131"/>
        <v>69</v>
      </c>
      <c r="Y20" s="34">
        <f t="shared" ref="Y20:AF21" si="132">Y17</f>
        <v>72</v>
      </c>
      <c r="Z20" s="7">
        <f t="shared" si="132"/>
        <v>75</v>
      </c>
      <c r="AA20" s="7">
        <f t="shared" si="132"/>
        <v>78</v>
      </c>
      <c r="AB20" s="7">
        <f t="shared" si="132"/>
        <v>81</v>
      </c>
      <c r="AC20" s="48">
        <f t="shared" si="132"/>
        <v>63</v>
      </c>
      <c r="AD20" s="48">
        <f t="shared" si="132"/>
        <v>65.25</v>
      </c>
      <c r="AE20" s="48">
        <f t="shared" si="132"/>
        <v>67.5</v>
      </c>
      <c r="AF20" s="48">
        <f t="shared" si="132"/>
        <v>69.75</v>
      </c>
      <c r="AG20" s="48">
        <f t="shared" ref="AG20:AJ20" si="133">AG17</f>
        <v>72</v>
      </c>
      <c r="AH20" s="48">
        <f t="shared" si="133"/>
        <v>74.25</v>
      </c>
      <c r="AI20" s="48">
        <f t="shared" si="133"/>
        <v>76.5</v>
      </c>
      <c r="AJ20" s="48">
        <f t="shared" si="133"/>
        <v>78.75</v>
      </c>
      <c r="AK20" s="48">
        <f t="shared" ref="AK20:BM20" si="134">AK17</f>
        <v>81</v>
      </c>
      <c r="AL20" s="48">
        <f t="shared" si="134"/>
        <v>83.25</v>
      </c>
      <c r="AM20" s="48">
        <f t="shared" si="134"/>
        <v>85.5</v>
      </c>
      <c r="AN20" s="48">
        <f t="shared" si="134"/>
        <v>87.75</v>
      </c>
      <c r="AO20" s="48">
        <f t="shared" si="134"/>
        <v>90</v>
      </c>
      <c r="AP20" s="48">
        <f t="shared" si="134"/>
        <v>92.25</v>
      </c>
      <c r="AQ20" s="48">
        <f t="shared" si="134"/>
        <v>94.5</v>
      </c>
      <c r="AR20" s="48">
        <f t="shared" si="134"/>
        <v>96.75</v>
      </c>
      <c r="AS20" s="48">
        <f t="shared" si="134"/>
        <v>99</v>
      </c>
      <c r="AT20" s="48">
        <f t="shared" si="134"/>
        <v>101.25</v>
      </c>
      <c r="AU20" s="48">
        <f t="shared" si="134"/>
        <v>103.5</v>
      </c>
      <c r="AV20" s="48">
        <f t="shared" si="134"/>
        <v>105.75</v>
      </c>
      <c r="AW20" s="48">
        <f t="shared" si="134"/>
        <v>108</v>
      </c>
      <c r="AX20" s="48">
        <f t="shared" si="134"/>
        <v>110.25</v>
      </c>
      <c r="AY20" s="48">
        <f t="shared" si="134"/>
        <v>112.5</v>
      </c>
      <c r="AZ20" s="48">
        <f t="shared" si="134"/>
        <v>114.75</v>
      </c>
      <c r="BA20" s="48">
        <f t="shared" si="134"/>
        <v>117</v>
      </c>
      <c r="BB20" s="48">
        <f t="shared" si="134"/>
        <v>119.25</v>
      </c>
      <c r="BC20" s="48">
        <f t="shared" si="134"/>
        <v>121.5</v>
      </c>
      <c r="BD20" s="48">
        <f t="shared" si="134"/>
        <v>123.75</v>
      </c>
      <c r="BE20" s="48">
        <f t="shared" si="134"/>
        <v>126</v>
      </c>
      <c r="BF20" s="48">
        <f t="shared" si="134"/>
        <v>128.25</v>
      </c>
      <c r="BG20" s="48">
        <f t="shared" si="134"/>
        <v>130.5</v>
      </c>
      <c r="BH20" s="48">
        <f t="shared" si="134"/>
        <v>132.75</v>
      </c>
      <c r="BI20" s="48">
        <f t="shared" si="134"/>
        <v>135</v>
      </c>
      <c r="BJ20" s="48">
        <f t="shared" si="134"/>
        <v>137.25</v>
      </c>
      <c r="BK20" s="48">
        <f t="shared" si="134"/>
        <v>139.5</v>
      </c>
      <c r="BL20" s="48">
        <f t="shared" si="134"/>
        <v>141.75</v>
      </c>
      <c r="BM20" s="91">
        <f t="shared" si="134"/>
        <v>144</v>
      </c>
    </row>
    <row r="21" spans="1:65" s="5" customFormat="1" ht="14" customHeight="1">
      <c r="A21" s="629"/>
      <c r="B21" s="18" t="s">
        <v>42</v>
      </c>
      <c r="C21" s="43" t="s">
        <v>40</v>
      </c>
      <c r="D21" s="44" t="s">
        <v>40</v>
      </c>
      <c r="E21" s="44"/>
      <c r="F21" s="55"/>
      <c r="G21" s="55"/>
      <c r="H21" s="55"/>
      <c r="I21" s="124"/>
      <c r="J21" s="55"/>
      <c r="K21" s="55"/>
      <c r="L21" s="55"/>
      <c r="M21" s="116"/>
      <c r="N21" s="117"/>
      <c r="O21" s="117"/>
      <c r="P21" s="117"/>
      <c r="Q21" s="38">
        <f>Q18</f>
        <v>24</v>
      </c>
      <c r="R21" s="38">
        <f t="shared" ref="R21:X21" si="135">R18</f>
        <v>25.5</v>
      </c>
      <c r="S21" s="38">
        <f t="shared" si="135"/>
        <v>27</v>
      </c>
      <c r="T21" s="38">
        <f t="shared" si="135"/>
        <v>28.5</v>
      </c>
      <c r="U21" s="38">
        <f t="shared" si="135"/>
        <v>30</v>
      </c>
      <c r="V21" s="38">
        <f t="shared" si="135"/>
        <v>31.5</v>
      </c>
      <c r="W21" s="38">
        <f t="shared" si="135"/>
        <v>33</v>
      </c>
      <c r="X21" s="38">
        <f t="shared" si="135"/>
        <v>34.5</v>
      </c>
      <c r="Y21" s="223">
        <f t="shared" si="132"/>
        <v>36</v>
      </c>
      <c r="Z21" s="225">
        <f t="shared" si="132"/>
        <v>37.5</v>
      </c>
      <c r="AA21" s="225">
        <f t="shared" si="132"/>
        <v>39</v>
      </c>
      <c r="AB21" s="225">
        <f t="shared" si="132"/>
        <v>40.5</v>
      </c>
      <c r="AC21" s="46">
        <f t="shared" si="132"/>
        <v>37.799999999999997</v>
      </c>
      <c r="AD21" s="46">
        <f t="shared" si="132"/>
        <v>39.15</v>
      </c>
      <c r="AE21" s="46">
        <f t="shared" si="132"/>
        <v>40.5</v>
      </c>
      <c r="AF21" s="46">
        <f t="shared" si="132"/>
        <v>41.85</v>
      </c>
      <c r="AG21" s="46">
        <f t="shared" ref="AG21:AJ21" si="136">AG18</f>
        <v>43.199999999999996</v>
      </c>
      <c r="AH21" s="46">
        <f t="shared" si="136"/>
        <v>44.55</v>
      </c>
      <c r="AI21" s="46">
        <f t="shared" si="136"/>
        <v>45.9</v>
      </c>
      <c r="AJ21" s="46">
        <f t="shared" si="136"/>
        <v>47.25</v>
      </c>
      <c r="AK21" s="46">
        <f t="shared" ref="AK21:BM21" si="137">AK18</f>
        <v>48.6</v>
      </c>
      <c r="AL21" s="46">
        <f t="shared" si="137"/>
        <v>49.949999999999996</v>
      </c>
      <c r="AM21" s="46">
        <f t="shared" si="137"/>
        <v>51.3</v>
      </c>
      <c r="AN21" s="46">
        <f t="shared" si="137"/>
        <v>52.65</v>
      </c>
      <c r="AO21" s="46">
        <f t="shared" si="137"/>
        <v>54</v>
      </c>
      <c r="AP21" s="46">
        <f t="shared" si="137"/>
        <v>55.35</v>
      </c>
      <c r="AQ21" s="46">
        <f t="shared" si="137"/>
        <v>56.699999999999996</v>
      </c>
      <c r="AR21" s="46">
        <f t="shared" si="137"/>
        <v>58.05</v>
      </c>
      <c r="AS21" s="46">
        <f t="shared" si="137"/>
        <v>59.4</v>
      </c>
      <c r="AT21" s="46">
        <f t="shared" si="137"/>
        <v>60.75</v>
      </c>
      <c r="AU21" s="46">
        <f t="shared" si="137"/>
        <v>62.099999999999994</v>
      </c>
      <c r="AV21" s="46">
        <f t="shared" si="137"/>
        <v>63.449999999999996</v>
      </c>
      <c r="AW21" s="46">
        <f t="shared" si="137"/>
        <v>64.8</v>
      </c>
      <c r="AX21" s="46">
        <f t="shared" si="137"/>
        <v>66.149999999999991</v>
      </c>
      <c r="AY21" s="46">
        <f t="shared" si="137"/>
        <v>67.5</v>
      </c>
      <c r="AZ21" s="46">
        <f t="shared" si="137"/>
        <v>68.849999999999994</v>
      </c>
      <c r="BA21" s="46">
        <f t="shared" si="137"/>
        <v>70.2</v>
      </c>
      <c r="BB21" s="46">
        <f t="shared" si="137"/>
        <v>71.55</v>
      </c>
      <c r="BC21" s="46">
        <f t="shared" si="137"/>
        <v>72.899999999999991</v>
      </c>
      <c r="BD21" s="46">
        <f t="shared" si="137"/>
        <v>74.25</v>
      </c>
      <c r="BE21" s="46">
        <f t="shared" si="137"/>
        <v>75.599999999999994</v>
      </c>
      <c r="BF21" s="46">
        <f t="shared" si="137"/>
        <v>76.95</v>
      </c>
      <c r="BG21" s="46">
        <f t="shared" si="137"/>
        <v>78.3</v>
      </c>
      <c r="BH21" s="46">
        <f t="shared" si="137"/>
        <v>79.649999999999991</v>
      </c>
      <c r="BI21" s="46">
        <f t="shared" si="137"/>
        <v>81</v>
      </c>
      <c r="BJ21" s="46">
        <f t="shared" si="137"/>
        <v>82.35</v>
      </c>
      <c r="BK21" s="46">
        <f t="shared" si="137"/>
        <v>83.7</v>
      </c>
      <c r="BL21" s="46">
        <f t="shared" si="137"/>
        <v>85.05</v>
      </c>
      <c r="BM21" s="89">
        <f t="shared" si="137"/>
        <v>86.399999999999991</v>
      </c>
    </row>
    <row r="22" spans="1:65" s="5" customFormat="1" ht="14" customHeight="1">
      <c r="A22" s="629"/>
      <c r="B22" s="49" t="s">
        <v>52</v>
      </c>
      <c r="C22" s="43" t="s">
        <v>40</v>
      </c>
      <c r="D22" s="101" t="s">
        <v>40</v>
      </c>
      <c r="E22" s="101"/>
      <c r="F22" s="102"/>
      <c r="G22" s="102"/>
      <c r="H22" s="102"/>
      <c r="I22" s="125"/>
      <c r="J22" s="102"/>
      <c r="K22" s="102"/>
      <c r="L22" s="102"/>
      <c r="M22" s="118"/>
      <c r="N22" s="102"/>
      <c r="O22" s="102"/>
      <c r="P22" s="102"/>
      <c r="Q22" s="222"/>
      <c r="R22" s="221"/>
      <c r="S22" s="221"/>
      <c r="T22" s="221"/>
      <c r="U22" s="221"/>
      <c r="V22" s="221"/>
      <c r="W22" s="221"/>
      <c r="X22" s="221"/>
      <c r="Y22" s="221"/>
      <c r="Z22" s="221"/>
      <c r="AA22" s="221"/>
      <c r="AB22" s="221"/>
      <c r="AC22" s="47">
        <f t="shared" ref="AC22:AF22" si="138">AC19</f>
        <v>25.200000000000003</v>
      </c>
      <c r="AD22" s="47">
        <f t="shared" si="138"/>
        <v>26.1</v>
      </c>
      <c r="AE22" s="47">
        <f t="shared" si="138"/>
        <v>27</v>
      </c>
      <c r="AF22" s="47">
        <f t="shared" si="138"/>
        <v>27.900000000000002</v>
      </c>
      <c r="AG22" s="47">
        <f t="shared" ref="AG22:AJ22" si="139">AG19</f>
        <v>28.8</v>
      </c>
      <c r="AH22" s="47">
        <f t="shared" si="139"/>
        <v>29.700000000000003</v>
      </c>
      <c r="AI22" s="47">
        <f t="shared" si="139"/>
        <v>30.6</v>
      </c>
      <c r="AJ22" s="47">
        <f t="shared" si="139"/>
        <v>31.5</v>
      </c>
      <c r="AK22" s="47">
        <f t="shared" ref="AK22:BM22" si="140">AK19</f>
        <v>32.4</v>
      </c>
      <c r="AL22" s="47">
        <f t="shared" si="140"/>
        <v>33.300000000000004</v>
      </c>
      <c r="AM22" s="47">
        <f t="shared" si="140"/>
        <v>34.200000000000003</v>
      </c>
      <c r="AN22" s="47">
        <f t="shared" si="140"/>
        <v>35.1</v>
      </c>
      <c r="AO22" s="47">
        <f t="shared" si="140"/>
        <v>36</v>
      </c>
      <c r="AP22" s="47">
        <f t="shared" si="140"/>
        <v>36.9</v>
      </c>
      <c r="AQ22" s="47">
        <f t="shared" si="140"/>
        <v>37.800000000000004</v>
      </c>
      <c r="AR22" s="47">
        <f t="shared" si="140"/>
        <v>38.700000000000003</v>
      </c>
      <c r="AS22" s="47">
        <f t="shared" si="140"/>
        <v>39.6</v>
      </c>
      <c r="AT22" s="47">
        <f t="shared" si="140"/>
        <v>40.5</v>
      </c>
      <c r="AU22" s="47">
        <f t="shared" si="140"/>
        <v>41.400000000000006</v>
      </c>
      <c r="AV22" s="47">
        <f t="shared" si="140"/>
        <v>42.300000000000004</v>
      </c>
      <c r="AW22" s="47">
        <f t="shared" si="140"/>
        <v>43.2</v>
      </c>
      <c r="AX22" s="47">
        <f t="shared" si="140"/>
        <v>44.1</v>
      </c>
      <c r="AY22" s="47">
        <f t="shared" si="140"/>
        <v>45</v>
      </c>
      <c r="AZ22" s="47">
        <f t="shared" si="140"/>
        <v>45.900000000000006</v>
      </c>
      <c r="BA22" s="47">
        <f t="shared" si="140"/>
        <v>46.800000000000004</v>
      </c>
      <c r="BB22" s="47">
        <f t="shared" si="140"/>
        <v>47.7</v>
      </c>
      <c r="BC22" s="47">
        <f t="shared" si="140"/>
        <v>48.6</v>
      </c>
      <c r="BD22" s="47">
        <f t="shared" si="140"/>
        <v>49.5</v>
      </c>
      <c r="BE22" s="47">
        <f t="shared" si="140"/>
        <v>50.400000000000006</v>
      </c>
      <c r="BF22" s="47">
        <f t="shared" si="140"/>
        <v>51.300000000000004</v>
      </c>
      <c r="BG22" s="47">
        <f t="shared" si="140"/>
        <v>52.2</v>
      </c>
      <c r="BH22" s="47">
        <f t="shared" si="140"/>
        <v>53.1</v>
      </c>
      <c r="BI22" s="47">
        <f t="shared" si="140"/>
        <v>54</v>
      </c>
      <c r="BJ22" s="47">
        <f t="shared" si="140"/>
        <v>54.900000000000006</v>
      </c>
      <c r="BK22" s="47">
        <f t="shared" si="140"/>
        <v>55.800000000000004</v>
      </c>
      <c r="BL22" s="47">
        <f t="shared" si="140"/>
        <v>56.7</v>
      </c>
      <c r="BM22" s="90">
        <f t="shared" si="140"/>
        <v>57.6</v>
      </c>
    </row>
    <row r="23" spans="1:65" s="108" customFormat="1" ht="19" customHeight="1" thickBot="1">
      <c r="A23" s="632" t="s">
        <v>54</v>
      </c>
      <c r="B23" s="633"/>
      <c r="C23" s="158" t="s">
        <v>40</v>
      </c>
      <c r="D23" s="159" t="s">
        <v>40</v>
      </c>
      <c r="E23" s="159">
        <v>1</v>
      </c>
      <c r="F23" s="159">
        <v>1</v>
      </c>
      <c r="G23" s="159">
        <v>1</v>
      </c>
      <c r="H23" s="159">
        <v>1</v>
      </c>
      <c r="I23" s="219">
        <v>1</v>
      </c>
      <c r="J23" s="159">
        <v>1</v>
      </c>
      <c r="K23" s="159">
        <v>1</v>
      </c>
      <c r="L23" s="159">
        <v>1</v>
      </c>
      <c r="M23" s="160">
        <v>2</v>
      </c>
      <c r="N23" s="159">
        <v>2</v>
      </c>
      <c r="O23" s="159">
        <v>2</v>
      </c>
      <c r="P23" s="159">
        <v>2</v>
      </c>
      <c r="Q23" s="159">
        <v>2</v>
      </c>
      <c r="R23" s="159">
        <v>2</v>
      </c>
      <c r="S23" s="159">
        <v>2</v>
      </c>
      <c r="T23" s="159">
        <v>2</v>
      </c>
      <c r="U23" s="159">
        <v>2</v>
      </c>
      <c r="V23" s="159">
        <v>2</v>
      </c>
      <c r="W23" s="159">
        <v>2</v>
      </c>
      <c r="X23" s="159">
        <v>2</v>
      </c>
      <c r="Y23" s="159">
        <v>2</v>
      </c>
      <c r="Z23" s="159">
        <v>2</v>
      </c>
      <c r="AA23" s="159">
        <v>2</v>
      </c>
      <c r="AB23" s="159">
        <v>2</v>
      </c>
      <c r="AC23" s="159">
        <v>2</v>
      </c>
      <c r="AD23" s="159">
        <v>2</v>
      </c>
      <c r="AE23" s="159">
        <v>2</v>
      </c>
      <c r="AF23" s="159">
        <v>2</v>
      </c>
      <c r="AG23" s="159">
        <v>2</v>
      </c>
      <c r="AH23" s="159">
        <v>2</v>
      </c>
      <c r="AI23" s="159">
        <v>2</v>
      </c>
      <c r="AJ23" s="159">
        <v>2</v>
      </c>
      <c r="AK23" s="159">
        <v>2</v>
      </c>
      <c r="AL23" s="159">
        <v>2</v>
      </c>
      <c r="AM23" s="159">
        <v>2</v>
      </c>
      <c r="AN23" s="159">
        <v>2</v>
      </c>
      <c r="AO23" s="159">
        <v>2</v>
      </c>
      <c r="AP23" s="159">
        <v>2</v>
      </c>
      <c r="AQ23" s="159">
        <v>2</v>
      </c>
      <c r="AR23" s="159">
        <v>2</v>
      </c>
      <c r="AS23" s="159">
        <v>2</v>
      </c>
      <c r="AT23" s="159">
        <v>2</v>
      </c>
      <c r="AU23" s="159">
        <v>2</v>
      </c>
      <c r="AV23" s="159">
        <v>2</v>
      </c>
      <c r="AW23" s="159">
        <v>2</v>
      </c>
      <c r="AX23" s="159">
        <v>2</v>
      </c>
      <c r="AY23" s="159">
        <v>2</v>
      </c>
      <c r="AZ23" s="159">
        <v>2</v>
      </c>
      <c r="BA23" s="159">
        <v>2</v>
      </c>
      <c r="BB23" s="159">
        <v>2</v>
      </c>
      <c r="BC23" s="159">
        <v>2</v>
      </c>
      <c r="BD23" s="159">
        <v>2</v>
      </c>
      <c r="BE23" s="159">
        <v>2</v>
      </c>
      <c r="BF23" s="159">
        <v>2</v>
      </c>
      <c r="BG23" s="159">
        <v>2</v>
      </c>
      <c r="BH23" s="159">
        <v>2</v>
      </c>
      <c r="BI23" s="159">
        <v>2</v>
      </c>
      <c r="BJ23" s="159">
        <v>2</v>
      </c>
      <c r="BK23" s="159">
        <v>2</v>
      </c>
      <c r="BL23" s="159">
        <v>2</v>
      </c>
      <c r="BM23" s="159">
        <v>2</v>
      </c>
    </row>
    <row r="24" spans="1:65" ht="19" customHeight="1" thickBot="1">
      <c r="A24" s="37" t="s">
        <v>55</v>
      </c>
      <c r="B24" s="68">
        <v>2</v>
      </c>
      <c r="C24" s="56">
        <f t="shared" ref="C24:AH24" si="141">SUM(C14*$B24)</f>
        <v>4</v>
      </c>
      <c r="D24" s="57">
        <f t="shared" si="141"/>
        <v>6</v>
      </c>
      <c r="E24" s="57">
        <f t="shared" si="141"/>
        <v>8</v>
      </c>
      <c r="F24" s="57">
        <f t="shared" si="141"/>
        <v>10</v>
      </c>
      <c r="G24" s="57">
        <f t="shared" si="141"/>
        <v>12</v>
      </c>
      <c r="H24" s="57">
        <f t="shared" si="141"/>
        <v>14</v>
      </c>
      <c r="I24" s="57">
        <f t="shared" si="141"/>
        <v>16</v>
      </c>
      <c r="J24" s="57">
        <f t="shared" si="141"/>
        <v>18</v>
      </c>
      <c r="K24" s="57">
        <f t="shared" si="141"/>
        <v>20</v>
      </c>
      <c r="L24" s="57">
        <f t="shared" si="141"/>
        <v>22</v>
      </c>
      <c r="M24" s="57">
        <f t="shared" si="141"/>
        <v>24</v>
      </c>
      <c r="N24" s="57">
        <f t="shared" si="141"/>
        <v>26</v>
      </c>
      <c r="O24" s="57">
        <f t="shared" si="141"/>
        <v>28</v>
      </c>
      <c r="P24" s="57">
        <f t="shared" si="141"/>
        <v>30</v>
      </c>
      <c r="Q24" s="57">
        <f t="shared" si="141"/>
        <v>32</v>
      </c>
      <c r="R24" s="57">
        <f t="shared" si="141"/>
        <v>34</v>
      </c>
      <c r="S24" s="57">
        <f t="shared" si="141"/>
        <v>36</v>
      </c>
      <c r="T24" s="57">
        <f t="shared" si="141"/>
        <v>38</v>
      </c>
      <c r="U24" s="57">
        <f t="shared" si="141"/>
        <v>40</v>
      </c>
      <c r="V24" s="57">
        <f t="shared" si="141"/>
        <v>42</v>
      </c>
      <c r="W24" s="57">
        <f t="shared" si="141"/>
        <v>44</v>
      </c>
      <c r="X24" s="57">
        <f t="shared" si="141"/>
        <v>46</v>
      </c>
      <c r="Y24" s="57">
        <f t="shared" si="141"/>
        <v>48</v>
      </c>
      <c r="Z24" s="57">
        <f t="shared" si="141"/>
        <v>50</v>
      </c>
      <c r="AA24" s="57">
        <f t="shared" si="141"/>
        <v>52</v>
      </c>
      <c r="AB24" s="57">
        <f t="shared" si="141"/>
        <v>54</v>
      </c>
      <c r="AC24" s="57">
        <f t="shared" si="141"/>
        <v>56</v>
      </c>
      <c r="AD24" s="57">
        <f t="shared" si="141"/>
        <v>58</v>
      </c>
      <c r="AE24" s="57">
        <f t="shared" si="141"/>
        <v>60</v>
      </c>
      <c r="AF24" s="57">
        <f t="shared" si="141"/>
        <v>62</v>
      </c>
      <c r="AG24" s="57">
        <f t="shared" si="141"/>
        <v>64</v>
      </c>
      <c r="AH24" s="57">
        <f t="shared" si="141"/>
        <v>66</v>
      </c>
      <c r="AI24" s="57">
        <f t="shared" ref="AI24:BM24" si="142">SUM(AI14*$B24)</f>
        <v>68</v>
      </c>
      <c r="AJ24" s="57">
        <f t="shared" si="142"/>
        <v>70</v>
      </c>
      <c r="AK24" s="57">
        <f t="shared" si="142"/>
        <v>72</v>
      </c>
      <c r="AL24" s="57">
        <f t="shared" si="142"/>
        <v>74</v>
      </c>
      <c r="AM24" s="57">
        <f t="shared" si="142"/>
        <v>76</v>
      </c>
      <c r="AN24" s="57">
        <f t="shared" si="142"/>
        <v>78</v>
      </c>
      <c r="AO24" s="57">
        <f t="shared" si="142"/>
        <v>80</v>
      </c>
      <c r="AP24" s="57">
        <f t="shared" si="142"/>
        <v>82</v>
      </c>
      <c r="AQ24" s="57">
        <f t="shared" si="142"/>
        <v>84</v>
      </c>
      <c r="AR24" s="57">
        <f t="shared" si="142"/>
        <v>86</v>
      </c>
      <c r="AS24" s="57">
        <f t="shared" si="142"/>
        <v>88</v>
      </c>
      <c r="AT24" s="57">
        <f t="shared" si="142"/>
        <v>90</v>
      </c>
      <c r="AU24" s="57">
        <f t="shared" si="142"/>
        <v>92</v>
      </c>
      <c r="AV24" s="57">
        <f t="shared" si="142"/>
        <v>94</v>
      </c>
      <c r="AW24" s="57">
        <f t="shared" si="142"/>
        <v>96</v>
      </c>
      <c r="AX24" s="57">
        <f t="shared" si="142"/>
        <v>98</v>
      </c>
      <c r="AY24" s="57">
        <f t="shared" si="142"/>
        <v>100</v>
      </c>
      <c r="AZ24" s="57">
        <f t="shared" si="142"/>
        <v>102</v>
      </c>
      <c r="BA24" s="57">
        <f t="shared" si="142"/>
        <v>104</v>
      </c>
      <c r="BB24" s="57">
        <f t="shared" si="142"/>
        <v>106</v>
      </c>
      <c r="BC24" s="57">
        <f t="shared" si="142"/>
        <v>108</v>
      </c>
      <c r="BD24" s="57">
        <f t="shared" si="142"/>
        <v>110</v>
      </c>
      <c r="BE24" s="57">
        <f t="shared" si="142"/>
        <v>112</v>
      </c>
      <c r="BF24" s="57">
        <f t="shared" si="142"/>
        <v>114</v>
      </c>
      <c r="BG24" s="57">
        <f t="shared" si="142"/>
        <v>116</v>
      </c>
      <c r="BH24" s="57">
        <f t="shared" si="142"/>
        <v>118</v>
      </c>
      <c r="BI24" s="57">
        <f t="shared" si="142"/>
        <v>120</v>
      </c>
      <c r="BJ24" s="57">
        <f t="shared" si="142"/>
        <v>122</v>
      </c>
      <c r="BK24" s="57">
        <f t="shared" si="142"/>
        <v>124</v>
      </c>
      <c r="BL24" s="57">
        <f t="shared" si="142"/>
        <v>126</v>
      </c>
      <c r="BM24" s="58">
        <f t="shared" si="142"/>
        <v>128</v>
      </c>
    </row>
    <row r="25" spans="1:65" ht="19" customHeight="1" thickBot="1">
      <c r="A25" s="216" t="s">
        <v>21</v>
      </c>
      <c r="B25" s="217">
        <v>2</v>
      </c>
      <c r="C25" s="56">
        <f>SUM(C14*$B25)</f>
        <v>4</v>
      </c>
      <c r="D25" s="56">
        <f t="shared" ref="D25:BM25" si="143">SUM(D14*$B25)</f>
        <v>6</v>
      </c>
      <c r="E25" s="56">
        <f t="shared" si="143"/>
        <v>8</v>
      </c>
      <c r="F25" s="56">
        <f t="shared" si="143"/>
        <v>10</v>
      </c>
      <c r="G25" s="56">
        <f t="shared" si="143"/>
        <v>12</v>
      </c>
      <c r="H25" s="56">
        <f t="shared" si="143"/>
        <v>14</v>
      </c>
      <c r="I25" s="56">
        <f t="shared" si="143"/>
        <v>16</v>
      </c>
      <c r="J25" s="56">
        <f t="shared" si="143"/>
        <v>18</v>
      </c>
      <c r="K25" s="56">
        <f t="shared" si="143"/>
        <v>20</v>
      </c>
      <c r="L25" s="56">
        <f t="shared" si="143"/>
        <v>22</v>
      </c>
      <c r="M25" s="56">
        <f t="shared" si="143"/>
        <v>24</v>
      </c>
      <c r="N25" s="56">
        <f t="shared" si="143"/>
        <v>26</v>
      </c>
      <c r="O25" s="56">
        <f t="shared" si="143"/>
        <v>28</v>
      </c>
      <c r="P25" s="56">
        <f t="shared" si="143"/>
        <v>30</v>
      </c>
      <c r="Q25" s="56">
        <f t="shared" si="143"/>
        <v>32</v>
      </c>
      <c r="R25" s="56">
        <f t="shared" si="143"/>
        <v>34</v>
      </c>
      <c r="S25" s="56">
        <f t="shared" si="143"/>
        <v>36</v>
      </c>
      <c r="T25" s="56">
        <f t="shared" si="143"/>
        <v>38</v>
      </c>
      <c r="U25" s="56">
        <f t="shared" si="143"/>
        <v>40</v>
      </c>
      <c r="V25" s="56">
        <f t="shared" si="143"/>
        <v>42</v>
      </c>
      <c r="W25" s="56">
        <f t="shared" si="143"/>
        <v>44</v>
      </c>
      <c r="X25" s="56">
        <f t="shared" si="143"/>
        <v>46</v>
      </c>
      <c r="Y25" s="56">
        <f t="shared" si="143"/>
        <v>48</v>
      </c>
      <c r="Z25" s="56">
        <f t="shared" si="143"/>
        <v>50</v>
      </c>
      <c r="AA25" s="56">
        <f t="shared" si="143"/>
        <v>52</v>
      </c>
      <c r="AB25" s="56">
        <f t="shared" si="143"/>
        <v>54</v>
      </c>
      <c r="AC25" s="56">
        <f t="shared" si="143"/>
        <v>56</v>
      </c>
      <c r="AD25" s="56">
        <f t="shared" si="143"/>
        <v>58</v>
      </c>
      <c r="AE25" s="56">
        <f t="shared" si="143"/>
        <v>60</v>
      </c>
      <c r="AF25" s="56">
        <f t="shared" si="143"/>
        <v>62</v>
      </c>
      <c r="AG25" s="56">
        <f t="shared" si="143"/>
        <v>64</v>
      </c>
      <c r="AH25" s="56">
        <f t="shared" si="143"/>
        <v>66</v>
      </c>
      <c r="AI25" s="56">
        <f t="shared" si="143"/>
        <v>68</v>
      </c>
      <c r="AJ25" s="56">
        <f t="shared" si="143"/>
        <v>70</v>
      </c>
      <c r="AK25" s="56">
        <f t="shared" si="143"/>
        <v>72</v>
      </c>
      <c r="AL25" s="56">
        <f t="shared" si="143"/>
        <v>74</v>
      </c>
      <c r="AM25" s="56">
        <f t="shared" si="143"/>
        <v>76</v>
      </c>
      <c r="AN25" s="56">
        <f t="shared" si="143"/>
        <v>78</v>
      </c>
      <c r="AO25" s="56">
        <f t="shared" si="143"/>
        <v>80</v>
      </c>
      <c r="AP25" s="56">
        <f t="shared" si="143"/>
        <v>82</v>
      </c>
      <c r="AQ25" s="56">
        <f t="shared" si="143"/>
        <v>84</v>
      </c>
      <c r="AR25" s="56">
        <f t="shared" si="143"/>
        <v>86</v>
      </c>
      <c r="AS25" s="56">
        <f t="shared" si="143"/>
        <v>88</v>
      </c>
      <c r="AT25" s="56">
        <f t="shared" si="143"/>
        <v>90</v>
      </c>
      <c r="AU25" s="56">
        <f t="shared" si="143"/>
        <v>92</v>
      </c>
      <c r="AV25" s="56">
        <f t="shared" si="143"/>
        <v>94</v>
      </c>
      <c r="AW25" s="56">
        <f t="shared" si="143"/>
        <v>96</v>
      </c>
      <c r="AX25" s="56">
        <f t="shared" si="143"/>
        <v>98</v>
      </c>
      <c r="AY25" s="56">
        <f t="shared" si="143"/>
        <v>100</v>
      </c>
      <c r="AZ25" s="56">
        <f t="shared" si="143"/>
        <v>102</v>
      </c>
      <c r="BA25" s="56">
        <f t="shared" si="143"/>
        <v>104</v>
      </c>
      <c r="BB25" s="56">
        <f t="shared" si="143"/>
        <v>106</v>
      </c>
      <c r="BC25" s="56">
        <f t="shared" si="143"/>
        <v>108</v>
      </c>
      <c r="BD25" s="56">
        <f t="shared" si="143"/>
        <v>110</v>
      </c>
      <c r="BE25" s="56">
        <f t="shared" si="143"/>
        <v>112</v>
      </c>
      <c r="BF25" s="56">
        <f t="shared" si="143"/>
        <v>114</v>
      </c>
      <c r="BG25" s="56">
        <f t="shared" si="143"/>
        <v>116</v>
      </c>
      <c r="BH25" s="56">
        <f t="shared" si="143"/>
        <v>118</v>
      </c>
      <c r="BI25" s="56">
        <f t="shared" si="143"/>
        <v>120</v>
      </c>
      <c r="BJ25" s="56">
        <f t="shared" si="143"/>
        <v>122</v>
      </c>
      <c r="BK25" s="56">
        <f t="shared" si="143"/>
        <v>124</v>
      </c>
      <c r="BL25" s="56">
        <f t="shared" si="143"/>
        <v>126</v>
      </c>
      <c r="BM25" s="56">
        <f t="shared" si="143"/>
        <v>128</v>
      </c>
    </row>
    <row r="26" spans="1:65" ht="15" customHeight="1" thickBot="1"/>
    <row r="27" spans="1:65" s="14" customFormat="1" ht="21">
      <c r="A27" s="20" t="s">
        <v>31</v>
      </c>
      <c r="B27" s="29">
        <v>15</v>
      </c>
      <c r="C27" s="26">
        <f t="shared" ref="C27:AH27" si="144">C14</f>
        <v>2</v>
      </c>
      <c r="D27" s="24">
        <f t="shared" si="144"/>
        <v>3</v>
      </c>
      <c r="E27" s="24">
        <f t="shared" si="144"/>
        <v>4</v>
      </c>
      <c r="F27" s="24">
        <f t="shared" si="144"/>
        <v>5</v>
      </c>
      <c r="G27" s="24">
        <f t="shared" si="144"/>
        <v>6</v>
      </c>
      <c r="H27" s="24">
        <f t="shared" si="144"/>
        <v>7</v>
      </c>
      <c r="I27" s="24">
        <f t="shared" si="144"/>
        <v>8</v>
      </c>
      <c r="J27" s="24">
        <f t="shared" si="144"/>
        <v>9</v>
      </c>
      <c r="K27" s="24">
        <f t="shared" si="144"/>
        <v>10</v>
      </c>
      <c r="L27" s="24">
        <f t="shared" si="144"/>
        <v>11</v>
      </c>
      <c r="M27" s="24">
        <f t="shared" si="144"/>
        <v>12</v>
      </c>
      <c r="N27" s="24">
        <f t="shared" si="144"/>
        <v>13</v>
      </c>
      <c r="O27" s="24">
        <f t="shared" si="144"/>
        <v>14</v>
      </c>
      <c r="P27" s="24">
        <f t="shared" si="144"/>
        <v>15</v>
      </c>
      <c r="Q27" s="24">
        <f t="shared" si="144"/>
        <v>16</v>
      </c>
      <c r="R27" s="24">
        <f t="shared" si="144"/>
        <v>17</v>
      </c>
      <c r="S27" s="24">
        <f t="shared" si="144"/>
        <v>18</v>
      </c>
      <c r="T27" s="24">
        <f t="shared" si="144"/>
        <v>19</v>
      </c>
      <c r="U27" s="24">
        <f t="shared" si="144"/>
        <v>20</v>
      </c>
      <c r="V27" s="24">
        <f t="shared" si="144"/>
        <v>21</v>
      </c>
      <c r="W27" s="24">
        <f t="shared" si="144"/>
        <v>22</v>
      </c>
      <c r="X27" s="24">
        <f t="shared" si="144"/>
        <v>23</v>
      </c>
      <c r="Y27" s="24">
        <f t="shared" si="144"/>
        <v>24</v>
      </c>
      <c r="Z27" s="24">
        <f t="shared" si="144"/>
        <v>25</v>
      </c>
      <c r="AA27" s="24">
        <f t="shared" si="144"/>
        <v>26</v>
      </c>
      <c r="AB27" s="24">
        <f t="shared" si="144"/>
        <v>27</v>
      </c>
      <c r="AC27" s="24">
        <f t="shared" si="144"/>
        <v>28</v>
      </c>
      <c r="AD27" s="24">
        <f t="shared" si="144"/>
        <v>29</v>
      </c>
      <c r="AE27" s="24">
        <f t="shared" si="144"/>
        <v>30</v>
      </c>
      <c r="AF27" s="24">
        <f t="shared" si="144"/>
        <v>31</v>
      </c>
      <c r="AG27" s="24">
        <f t="shared" si="144"/>
        <v>32</v>
      </c>
      <c r="AH27" s="24">
        <f t="shared" si="144"/>
        <v>33</v>
      </c>
      <c r="AI27" s="24">
        <f t="shared" ref="AI27:BM27" si="145">AI14</f>
        <v>34</v>
      </c>
      <c r="AJ27" s="24">
        <f t="shared" si="145"/>
        <v>35</v>
      </c>
      <c r="AK27" s="24">
        <f t="shared" si="145"/>
        <v>36</v>
      </c>
      <c r="AL27" s="24">
        <f t="shared" si="145"/>
        <v>37</v>
      </c>
      <c r="AM27" s="24">
        <f t="shared" si="145"/>
        <v>38</v>
      </c>
      <c r="AN27" s="24">
        <f t="shared" si="145"/>
        <v>39</v>
      </c>
      <c r="AO27" s="24">
        <f t="shared" si="145"/>
        <v>40</v>
      </c>
      <c r="AP27" s="24">
        <f t="shared" si="145"/>
        <v>41</v>
      </c>
      <c r="AQ27" s="24">
        <f t="shared" si="145"/>
        <v>42</v>
      </c>
      <c r="AR27" s="24">
        <f t="shared" si="145"/>
        <v>43</v>
      </c>
      <c r="AS27" s="24">
        <f t="shared" si="145"/>
        <v>44</v>
      </c>
      <c r="AT27" s="24">
        <f t="shared" si="145"/>
        <v>45</v>
      </c>
      <c r="AU27" s="24">
        <f t="shared" si="145"/>
        <v>46</v>
      </c>
      <c r="AV27" s="24">
        <f t="shared" si="145"/>
        <v>47</v>
      </c>
      <c r="AW27" s="24">
        <f t="shared" si="145"/>
        <v>48</v>
      </c>
      <c r="AX27" s="24">
        <f t="shared" si="145"/>
        <v>49</v>
      </c>
      <c r="AY27" s="24">
        <f t="shared" si="145"/>
        <v>50</v>
      </c>
      <c r="AZ27" s="24">
        <f t="shared" si="145"/>
        <v>51</v>
      </c>
      <c r="BA27" s="24">
        <f t="shared" si="145"/>
        <v>52</v>
      </c>
      <c r="BB27" s="24">
        <f t="shared" si="145"/>
        <v>53</v>
      </c>
      <c r="BC27" s="24">
        <f t="shared" si="145"/>
        <v>54</v>
      </c>
      <c r="BD27" s="24">
        <f t="shared" si="145"/>
        <v>55</v>
      </c>
      <c r="BE27" s="24">
        <f t="shared" si="145"/>
        <v>56</v>
      </c>
      <c r="BF27" s="24">
        <f t="shared" si="145"/>
        <v>57</v>
      </c>
      <c r="BG27" s="24">
        <f t="shared" si="145"/>
        <v>58</v>
      </c>
      <c r="BH27" s="24">
        <f t="shared" si="145"/>
        <v>59</v>
      </c>
      <c r="BI27" s="24">
        <f t="shared" si="145"/>
        <v>60</v>
      </c>
      <c r="BJ27" s="24">
        <f t="shared" si="145"/>
        <v>61</v>
      </c>
      <c r="BK27" s="24">
        <f t="shared" si="145"/>
        <v>62</v>
      </c>
      <c r="BL27" s="24">
        <f t="shared" si="145"/>
        <v>63</v>
      </c>
      <c r="BM27" s="25">
        <f t="shared" si="145"/>
        <v>64</v>
      </c>
    </row>
    <row r="28" spans="1:65" ht="17" thickBot="1">
      <c r="A28" s="622" t="s">
        <v>38</v>
      </c>
      <c r="B28" s="623"/>
      <c r="C28" s="19">
        <f>SUM(C27*$B27)</f>
        <v>30</v>
      </c>
      <c r="D28" s="9">
        <f>SUM(D27*$B27)</f>
        <v>45</v>
      </c>
      <c r="E28" s="9">
        <f>SUM(E27*$B27)</f>
        <v>60</v>
      </c>
      <c r="F28" s="9">
        <f>SUM(F27*$B27)</f>
        <v>75</v>
      </c>
      <c r="G28" s="9">
        <f t="shared" ref="G28:AG28" si="146">SUM(G27*$B27)</f>
        <v>90</v>
      </c>
      <c r="H28" s="9">
        <f t="shared" si="146"/>
        <v>105</v>
      </c>
      <c r="I28" s="9">
        <f t="shared" si="146"/>
        <v>120</v>
      </c>
      <c r="J28" s="9">
        <f t="shared" si="146"/>
        <v>135</v>
      </c>
      <c r="K28" s="9">
        <f t="shared" si="146"/>
        <v>150</v>
      </c>
      <c r="L28" s="9">
        <f t="shared" si="146"/>
        <v>165</v>
      </c>
      <c r="M28" s="9">
        <f t="shared" si="146"/>
        <v>180</v>
      </c>
      <c r="N28" s="9">
        <f t="shared" si="146"/>
        <v>195</v>
      </c>
      <c r="O28" s="9">
        <f t="shared" si="146"/>
        <v>210</v>
      </c>
      <c r="P28" s="9">
        <f t="shared" si="146"/>
        <v>225</v>
      </c>
      <c r="Q28" s="9">
        <f t="shared" si="146"/>
        <v>240</v>
      </c>
      <c r="R28" s="9">
        <f t="shared" si="146"/>
        <v>255</v>
      </c>
      <c r="S28" s="9">
        <f t="shared" si="146"/>
        <v>270</v>
      </c>
      <c r="T28" s="9">
        <f t="shared" si="146"/>
        <v>285</v>
      </c>
      <c r="U28" s="9">
        <f t="shared" si="146"/>
        <v>300</v>
      </c>
      <c r="V28" s="9">
        <f t="shared" si="146"/>
        <v>315</v>
      </c>
      <c r="W28" s="9">
        <f t="shared" si="146"/>
        <v>330</v>
      </c>
      <c r="X28" s="9">
        <f t="shared" si="146"/>
        <v>345</v>
      </c>
      <c r="Y28" s="9">
        <f t="shared" si="146"/>
        <v>360</v>
      </c>
      <c r="Z28" s="9">
        <f t="shared" si="146"/>
        <v>375</v>
      </c>
      <c r="AA28" s="9">
        <f t="shared" si="146"/>
        <v>390</v>
      </c>
      <c r="AB28" s="9">
        <f t="shared" si="146"/>
        <v>405</v>
      </c>
      <c r="AC28" s="9">
        <f t="shared" si="146"/>
        <v>420</v>
      </c>
      <c r="AD28" s="9">
        <f t="shared" si="146"/>
        <v>435</v>
      </c>
      <c r="AE28" s="9">
        <f t="shared" si="146"/>
        <v>450</v>
      </c>
      <c r="AF28" s="9">
        <f t="shared" si="146"/>
        <v>465</v>
      </c>
      <c r="AG28" s="9">
        <f t="shared" si="146"/>
        <v>480</v>
      </c>
      <c r="AH28" s="9">
        <f t="shared" ref="AH28:BM28" si="147">SUM(AH27*$B27)</f>
        <v>495</v>
      </c>
      <c r="AI28" s="9">
        <f t="shared" si="147"/>
        <v>510</v>
      </c>
      <c r="AJ28" s="9">
        <f t="shared" si="147"/>
        <v>525</v>
      </c>
      <c r="AK28" s="9">
        <f t="shared" si="147"/>
        <v>540</v>
      </c>
      <c r="AL28" s="9">
        <f t="shared" si="147"/>
        <v>555</v>
      </c>
      <c r="AM28" s="9">
        <f t="shared" si="147"/>
        <v>570</v>
      </c>
      <c r="AN28" s="9">
        <f t="shared" si="147"/>
        <v>585</v>
      </c>
      <c r="AO28" s="9">
        <f t="shared" si="147"/>
        <v>600</v>
      </c>
      <c r="AP28" s="9">
        <f t="shared" si="147"/>
        <v>615</v>
      </c>
      <c r="AQ28" s="9">
        <f t="shared" si="147"/>
        <v>630</v>
      </c>
      <c r="AR28" s="9">
        <f t="shared" si="147"/>
        <v>645</v>
      </c>
      <c r="AS28" s="9">
        <f t="shared" si="147"/>
        <v>660</v>
      </c>
      <c r="AT28" s="9">
        <f t="shared" si="147"/>
        <v>675</v>
      </c>
      <c r="AU28" s="9">
        <f t="shared" si="147"/>
        <v>690</v>
      </c>
      <c r="AV28" s="9">
        <f t="shared" si="147"/>
        <v>705</v>
      </c>
      <c r="AW28" s="9">
        <f t="shared" si="147"/>
        <v>720</v>
      </c>
      <c r="AX28" s="9">
        <f t="shared" si="147"/>
        <v>735</v>
      </c>
      <c r="AY28" s="9">
        <f t="shared" si="147"/>
        <v>750</v>
      </c>
      <c r="AZ28" s="9">
        <f t="shared" si="147"/>
        <v>765</v>
      </c>
      <c r="BA28" s="9">
        <f t="shared" si="147"/>
        <v>780</v>
      </c>
      <c r="BB28" s="9">
        <f t="shared" si="147"/>
        <v>795</v>
      </c>
      <c r="BC28" s="9">
        <f t="shared" si="147"/>
        <v>810</v>
      </c>
      <c r="BD28" s="9">
        <f t="shared" si="147"/>
        <v>825</v>
      </c>
      <c r="BE28" s="9">
        <f t="shared" si="147"/>
        <v>840</v>
      </c>
      <c r="BF28" s="9">
        <f t="shared" si="147"/>
        <v>855</v>
      </c>
      <c r="BG28" s="9">
        <f t="shared" si="147"/>
        <v>870</v>
      </c>
      <c r="BH28" s="9">
        <f t="shared" si="147"/>
        <v>885</v>
      </c>
      <c r="BI28" s="9">
        <f t="shared" si="147"/>
        <v>900</v>
      </c>
      <c r="BJ28" s="9">
        <f t="shared" si="147"/>
        <v>915</v>
      </c>
      <c r="BK28" s="9">
        <f t="shared" si="147"/>
        <v>930</v>
      </c>
      <c r="BL28" s="9">
        <f t="shared" si="147"/>
        <v>945</v>
      </c>
      <c r="BM28" s="10">
        <f t="shared" si="147"/>
        <v>960</v>
      </c>
    </row>
    <row r="29" spans="1:65" ht="18">
      <c r="A29" s="66" t="s">
        <v>56</v>
      </c>
      <c r="B29" s="71">
        <v>9</v>
      </c>
      <c r="C29" s="63">
        <f t="shared" ref="C29:T29" si="148">SUM($B29*C27)+SUM(C27*$B40)</f>
        <v>26</v>
      </c>
      <c r="D29" s="64">
        <f t="shared" si="148"/>
        <v>39</v>
      </c>
      <c r="E29" s="64">
        <f t="shared" si="148"/>
        <v>52</v>
      </c>
      <c r="F29" s="64">
        <f t="shared" si="148"/>
        <v>65</v>
      </c>
      <c r="G29" s="64">
        <f t="shared" si="148"/>
        <v>78</v>
      </c>
      <c r="H29" s="67">
        <f t="shared" si="148"/>
        <v>91</v>
      </c>
      <c r="I29" s="100">
        <f t="shared" si="148"/>
        <v>104</v>
      </c>
      <c r="J29" s="107">
        <f t="shared" si="148"/>
        <v>117</v>
      </c>
      <c r="K29" s="64">
        <f t="shared" si="148"/>
        <v>130</v>
      </c>
      <c r="L29" s="64">
        <f t="shared" si="148"/>
        <v>143</v>
      </c>
      <c r="M29" s="64">
        <f t="shared" si="148"/>
        <v>156</v>
      </c>
      <c r="N29" s="64">
        <f t="shared" si="148"/>
        <v>169</v>
      </c>
      <c r="O29" s="64">
        <f t="shared" si="148"/>
        <v>182</v>
      </c>
      <c r="P29" s="64">
        <f t="shared" si="148"/>
        <v>195</v>
      </c>
      <c r="Q29" s="64">
        <f t="shared" si="148"/>
        <v>208</v>
      </c>
      <c r="R29" s="64">
        <f t="shared" si="148"/>
        <v>221</v>
      </c>
      <c r="S29" s="64">
        <f t="shared" si="148"/>
        <v>234</v>
      </c>
      <c r="T29" s="64">
        <f t="shared" si="148"/>
        <v>247</v>
      </c>
      <c r="U29" s="64">
        <f t="shared" ref="U29:BM29" si="149">SUM($B29*U27)</f>
        <v>180</v>
      </c>
      <c r="V29" s="64">
        <f t="shared" si="149"/>
        <v>189</v>
      </c>
      <c r="W29" s="64">
        <f t="shared" si="149"/>
        <v>198</v>
      </c>
      <c r="X29" s="64">
        <f t="shared" si="149"/>
        <v>207</v>
      </c>
      <c r="Y29" s="64">
        <f t="shared" si="149"/>
        <v>216</v>
      </c>
      <c r="Z29" s="64">
        <f t="shared" si="149"/>
        <v>225</v>
      </c>
      <c r="AA29" s="64">
        <f t="shared" si="149"/>
        <v>234</v>
      </c>
      <c r="AB29" s="64">
        <f t="shared" si="149"/>
        <v>243</v>
      </c>
      <c r="AC29" s="64">
        <f t="shared" si="149"/>
        <v>252</v>
      </c>
      <c r="AD29" s="64">
        <f t="shared" si="149"/>
        <v>261</v>
      </c>
      <c r="AE29" s="64">
        <f t="shared" si="149"/>
        <v>270</v>
      </c>
      <c r="AF29" s="64">
        <f t="shared" si="149"/>
        <v>279</v>
      </c>
      <c r="AG29" s="64">
        <f t="shared" si="149"/>
        <v>288</v>
      </c>
      <c r="AH29" s="64">
        <f t="shared" si="149"/>
        <v>297</v>
      </c>
      <c r="AI29" s="64">
        <f t="shared" si="149"/>
        <v>306</v>
      </c>
      <c r="AJ29" s="64">
        <f t="shared" si="149"/>
        <v>315</v>
      </c>
      <c r="AK29" s="64">
        <f t="shared" si="149"/>
        <v>324</v>
      </c>
      <c r="AL29" s="64">
        <f t="shared" si="149"/>
        <v>333</v>
      </c>
      <c r="AM29" s="64">
        <f t="shared" si="149"/>
        <v>342</v>
      </c>
      <c r="AN29" s="64">
        <f t="shared" si="149"/>
        <v>351</v>
      </c>
      <c r="AO29" s="64">
        <f t="shared" si="149"/>
        <v>360</v>
      </c>
      <c r="AP29" s="64">
        <f t="shared" si="149"/>
        <v>369</v>
      </c>
      <c r="AQ29" s="64">
        <f t="shared" si="149"/>
        <v>378</v>
      </c>
      <c r="AR29" s="64">
        <f t="shared" si="149"/>
        <v>387</v>
      </c>
      <c r="AS29" s="64">
        <f t="shared" si="149"/>
        <v>396</v>
      </c>
      <c r="AT29" s="64">
        <f t="shared" si="149"/>
        <v>405</v>
      </c>
      <c r="AU29" s="64">
        <f t="shared" si="149"/>
        <v>414</v>
      </c>
      <c r="AV29" s="64">
        <f t="shared" si="149"/>
        <v>423</v>
      </c>
      <c r="AW29" s="64">
        <f t="shared" si="149"/>
        <v>432</v>
      </c>
      <c r="AX29" s="64">
        <f t="shared" si="149"/>
        <v>441</v>
      </c>
      <c r="AY29" s="64">
        <f t="shared" si="149"/>
        <v>450</v>
      </c>
      <c r="AZ29" s="64">
        <f t="shared" si="149"/>
        <v>459</v>
      </c>
      <c r="BA29" s="64">
        <f t="shared" si="149"/>
        <v>468</v>
      </c>
      <c r="BB29" s="64">
        <f t="shared" si="149"/>
        <v>477</v>
      </c>
      <c r="BC29" s="64">
        <f t="shared" si="149"/>
        <v>486</v>
      </c>
      <c r="BD29" s="64">
        <f t="shared" si="149"/>
        <v>495</v>
      </c>
      <c r="BE29" s="64">
        <f t="shared" si="149"/>
        <v>504</v>
      </c>
      <c r="BF29" s="64">
        <f t="shared" si="149"/>
        <v>513</v>
      </c>
      <c r="BG29" s="64">
        <f t="shared" si="149"/>
        <v>522</v>
      </c>
      <c r="BH29" s="64">
        <f t="shared" si="149"/>
        <v>531</v>
      </c>
      <c r="BI29" s="64">
        <f t="shared" si="149"/>
        <v>540</v>
      </c>
      <c r="BJ29" s="64">
        <f t="shared" si="149"/>
        <v>549</v>
      </c>
      <c r="BK29" s="64">
        <f t="shared" si="149"/>
        <v>558</v>
      </c>
      <c r="BL29" s="64">
        <f t="shared" si="149"/>
        <v>567</v>
      </c>
      <c r="BM29" s="64">
        <f t="shared" si="149"/>
        <v>576</v>
      </c>
    </row>
    <row r="30" spans="1:65" s="5" customFormat="1" ht="16" customHeight="1">
      <c r="A30" s="434"/>
      <c r="B30" s="72" t="s">
        <v>57</v>
      </c>
      <c r="C30" s="75">
        <f t="shared" ref="C30:H30" si="150">C29</f>
        <v>26</v>
      </c>
      <c r="D30" s="76">
        <f t="shared" si="150"/>
        <v>39</v>
      </c>
      <c r="E30" s="76">
        <f t="shared" si="150"/>
        <v>52</v>
      </c>
      <c r="F30" s="76">
        <f t="shared" si="150"/>
        <v>65</v>
      </c>
      <c r="G30" s="76">
        <f t="shared" si="150"/>
        <v>78</v>
      </c>
      <c r="H30" s="77">
        <f t="shared" si="150"/>
        <v>91</v>
      </c>
      <c r="I30" s="104">
        <f t="shared" ref="I30:AN30" si="151">SUM(I29/2)</f>
        <v>52</v>
      </c>
      <c r="J30" s="12">
        <f t="shared" si="151"/>
        <v>58.5</v>
      </c>
      <c r="K30" s="12">
        <f t="shared" si="151"/>
        <v>65</v>
      </c>
      <c r="L30" s="12">
        <f t="shared" si="151"/>
        <v>71.5</v>
      </c>
      <c r="M30" s="12">
        <f t="shared" si="151"/>
        <v>78</v>
      </c>
      <c r="N30" s="12">
        <f t="shared" si="151"/>
        <v>84.5</v>
      </c>
      <c r="O30" s="12">
        <f t="shared" si="151"/>
        <v>91</v>
      </c>
      <c r="P30" s="12">
        <f t="shared" si="151"/>
        <v>97.5</v>
      </c>
      <c r="Q30" s="12">
        <f t="shared" si="151"/>
        <v>104</v>
      </c>
      <c r="R30" s="12">
        <f t="shared" si="151"/>
        <v>110.5</v>
      </c>
      <c r="S30" s="12">
        <f t="shared" si="151"/>
        <v>117</v>
      </c>
      <c r="T30" s="12">
        <f t="shared" si="151"/>
        <v>123.5</v>
      </c>
      <c r="U30" s="12">
        <f t="shared" si="151"/>
        <v>90</v>
      </c>
      <c r="V30" s="12">
        <f t="shared" si="151"/>
        <v>94.5</v>
      </c>
      <c r="W30" s="12">
        <f t="shared" si="151"/>
        <v>99</v>
      </c>
      <c r="X30" s="12">
        <f t="shared" si="151"/>
        <v>103.5</v>
      </c>
      <c r="Y30" s="12">
        <f t="shared" si="151"/>
        <v>108</v>
      </c>
      <c r="Z30" s="12">
        <f t="shared" si="151"/>
        <v>112.5</v>
      </c>
      <c r="AA30" s="12">
        <f t="shared" si="151"/>
        <v>117</v>
      </c>
      <c r="AB30" s="12">
        <f t="shared" si="151"/>
        <v>121.5</v>
      </c>
      <c r="AC30" s="12">
        <f t="shared" si="151"/>
        <v>126</v>
      </c>
      <c r="AD30" s="12">
        <f t="shared" si="151"/>
        <v>130.5</v>
      </c>
      <c r="AE30" s="12">
        <f t="shared" si="151"/>
        <v>135</v>
      </c>
      <c r="AF30" s="12">
        <f t="shared" si="151"/>
        <v>139.5</v>
      </c>
      <c r="AG30" s="12">
        <f t="shared" si="151"/>
        <v>144</v>
      </c>
      <c r="AH30" s="12">
        <f t="shared" si="151"/>
        <v>148.5</v>
      </c>
      <c r="AI30" s="12">
        <f t="shared" si="151"/>
        <v>153</v>
      </c>
      <c r="AJ30" s="12">
        <f t="shared" si="151"/>
        <v>157.5</v>
      </c>
      <c r="AK30" s="12">
        <f t="shared" si="151"/>
        <v>162</v>
      </c>
      <c r="AL30" s="12">
        <f t="shared" si="151"/>
        <v>166.5</v>
      </c>
      <c r="AM30" s="12">
        <f t="shared" si="151"/>
        <v>171</v>
      </c>
      <c r="AN30" s="12">
        <f t="shared" si="151"/>
        <v>175.5</v>
      </c>
      <c r="AO30" s="12">
        <f t="shared" ref="AO30:BM30" si="152">SUM(AO29/2)</f>
        <v>180</v>
      </c>
      <c r="AP30" s="12">
        <f t="shared" si="152"/>
        <v>184.5</v>
      </c>
      <c r="AQ30" s="12">
        <f t="shared" si="152"/>
        <v>189</v>
      </c>
      <c r="AR30" s="12">
        <f t="shared" si="152"/>
        <v>193.5</v>
      </c>
      <c r="AS30" s="12">
        <f t="shared" si="152"/>
        <v>198</v>
      </c>
      <c r="AT30" s="12">
        <f t="shared" si="152"/>
        <v>202.5</v>
      </c>
      <c r="AU30" s="12">
        <f t="shared" si="152"/>
        <v>207</v>
      </c>
      <c r="AV30" s="12">
        <f t="shared" si="152"/>
        <v>211.5</v>
      </c>
      <c r="AW30" s="12">
        <f t="shared" si="152"/>
        <v>216</v>
      </c>
      <c r="AX30" s="12">
        <f t="shared" si="152"/>
        <v>220.5</v>
      </c>
      <c r="AY30" s="12">
        <f t="shared" si="152"/>
        <v>225</v>
      </c>
      <c r="AZ30" s="12">
        <f t="shared" si="152"/>
        <v>229.5</v>
      </c>
      <c r="BA30" s="12">
        <f t="shared" si="152"/>
        <v>234</v>
      </c>
      <c r="BB30" s="12">
        <f t="shared" si="152"/>
        <v>238.5</v>
      </c>
      <c r="BC30" s="12">
        <f t="shared" si="152"/>
        <v>243</v>
      </c>
      <c r="BD30" s="12">
        <f t="shared" si="152"/>
        <v>247.5</v>
      </c>
      <c r="BE30" s="12">
        <f t="shared" si="152"/>
        <v>252</v>
      </c>
      <c r="BF30" s="12">
        <f t="shared" si="152"/>
        <v>256.5</v>
      </c>
      <c r="BG30" s="12">
        <f t="shared" si="152"/>
        <v>261</v>
      </c>
      <c r="BH30" s="12">
        <f t="shared" si="152"/>
        <v>265.5</v>
      </c>
      <c r="BI30" s="12">
        <f t="shared" si="152"/>
        <v>270</v>
      </c>
      <c r="BJ30" s="12">
        <f t="shared" si="152"/>
        <v>274.5</v>
      </c>
      <c r="BK30" s="12">
        <f t="shared" si="152"/>
        <v>279</v>
      </c>
      <c r="BL30" s="12">
        <f t="shared" si="152"/>
        <v>283.5</v>
      </c>
      <c r="BM30" s="28">
        <f t="shared" si="152"/>
        <v>288</v>
      </c>
    </row>
    <row r="31" spans="1:65" s="5" customFormat="1" ht="14">
      <c r="A31" s="84"/>
      <c r="B31" s="73" t="s">
        <v>58</v>
      </c>
      <c r="C31" s="78">
        <f>SUM(C29/2)</f>
        <v>13</v>
      </c>
      <c r="D31" s="79">
        <f>SUM(D29/2)</f>
        <v>19.5</v>
      </c>
      <c r="E31" s="79">
        <f>SUM(E29/2)</f>
        <v>26</v>
      </c>
      <c r="F31" s="79">
        <f>SUM(F29/2)</f>
        <v>32.5</v>
      </c>
      <c r="G31" s="79">
        <f>SUM(G29/2)</f>
        <v>39</v>
      </c>
      <c r="H31" s="80">
        <f t="shared" ref="H31" si="153">SUM(H29/2)</f>
        <v>45.5</v>
      </c>
      <c r="I31" s="105">
        <f t="shared" ref="I31:AN31" si="154">SUM(I$30/2)</f>
        <v>26</v>
      </c>
      <c r="J31" s="106">
        <f t="shared" si="154"/>
        <v>29.25</v>
      </c>
      <c r="K31" s="8">
        <f t="shared" si="154"/>
        <v>32.5</v>
      </c>
      <c r="L31" s="8">
        <f t="shared" si="154"/>
        <v>35.75</v>
      </c>
      <c r="M31" s="8">
        <f t="shared" si="154"/>
        <v>39</v>
      </c>
      <c r="N31" s="8">
        <f t="shared" si="154"/>
        <v>42.25</v>
      </c>
      <c r="O31" s="8">
        <f t="shared" si="154"/>
        <v>45.5</v>
      </c>
      <c r="P31" s="8">
        <f t="shared" si="154"/>
        <v>48.75</v>
      </c>
      <c r="Q31" s="8">
        <f t="shared" si="154"/>
        <v>52</v>
      </c>
      <c r="R31" s="8">
        <f t="shared" si="154"/>
        <v>55.25</v>
      </c>
      <c r="S31" s="8">
        <f t="shared" si="154"/>
        <v>58.5</v>
      </c>
      <c r="T31" s="8">
        <f t="shared" si="154"/>
        <v>61.75</v>
      </c>
      <c r="U31" s="8">
        <f t="shared" si="154"/>
        <v>45</v>
      </c>
      <c r="V31" s="8">
        <f t="shared" si="154"/>
        <v>47.25</v>
      </c>
      <c r="W31" s="8">
        <f t="shared" si="154"/>
        <v>49.5</v>
      </c>
      <c r="X31" s="8">
        <f t="shared" si="154"/>
        <v>51.75</v>
      </c>
      <c r="Y31" s="8">
        <f t="shared" si="154"/>
        <v>54</v>
      </c>
      <c r="Z31" s="8">
        <f t="shared" si="154"/>
        <v>56.25</v>
      </c>
      <c r="AA31" s="8">
        <f t="shared" si="154"/>
        <v>58.5</v>
      </c>
      <c r="AB31" s="8">
        <f t="shared" si="154"/>
        <v>60.75</v>
      </c>
      <c r="AC31" s="8">
        <f t="shared" si="154"/>
        <v>63</v>
      </c>
      <c r="AD31" s="8">
        <f t="shared" si="154"/>
        <v>65.25</v>
      </c>
      <c r="AE31" s="8">
        <f t="shared" si="154"/>
        <v>67.5</v>
      </c>
      <c r="AF31" s="8">
        <f t="shared" si="154"/>
        <v>69.75</v>
      </c>
      <c r="AG31" s="8">
        <f t="shared" si="154"/>
        <v>72</v>
      </c>
      <c r="AH31" s="8">
        <f t="shared" si="154"/>
        <v>74.25</v>
      </c>
      <c r="AI31" s="8">
        <f t="shared" si="154"/>
        <v>76.5</v>
      </c>
      <c r="AJ31" s="8">
        <f t="shared" si="154"/>
        <v>78.75</v>
      </c>
      <c r="AK31" s="8">
        <f t="shared" si="154"/>
        <v>81</v>
      </c>
      <c r="AL31" s="8">
        <f t="shared" si="154"/>
        <v>83.25</v>
      </c>
      <c r="AM31" s="8">
        <f t="shared" si="154"/>
        <v>85.5</v>
      </c>
      <c r="AN31" s="8">
        <f t="shared" si="154"/>
        <v>87.75</v>
      </c>
      <c r="AO31" s="8">
        <f t="shared" ref="AO31:BM31" si="155">SUM(AO$30/2)</f>
        <v>90</v>
      </c>
      <c r="AP31" s="8">
        <f t="shared" si="155"/>
        <v>92.25</v>
      </c>
      <c r="AQ31" s="8">
        <f t="shared" si="155"/>
        <v>94.5</v>
      </c>
      <c r="AR31" s="8">
        <f t="shared" si="155"/>
        <v>96.75</v>
      </c>
      <c r="AS31" s="8">
        <f t="shared" si="155"/>
        <v>99</v>
      </c>
      <c r="AT31" s="8">
        <f t="shared" si="155"/>
        <v>101.25</v>
      </c>
      <c r="AU31" s="8">
        <f t="shared" si="155"/>
        <v>103.5</v>
      </c>
      <c r="AV31" s="8">
        <f t="shared" si="155"/>
        <v>105.75</v>
      </c>
      <c r="AW31" s="8">
        <f t="shared" si="155"/>
        <v>108</v>
      </c>
      <c r="AX31" s="8">
        <f t="shared" si="155"/>
        <v>110.25</v>
      </c>
      <c r="AY31" s="8">
        <f t="shared" si="155"/>
        <v>112.5</v>
      </c>
      <c r="AZ31" s="8">
        <f t="shared" si="155"/>
        <v>114.75</v>
      </c>
      <c r="BA31" s="8">
        <f t="shared" si="155"/>
        <v>117</v>
      </c>
      <c r="BB31" s="8">
        <f t="shared" si="155"/>
        <v>119.25</v>
      </c>
      <c r="BC31" s="8">
        <f t="shared" si="155"/>
        <v>121.5</v>
      </c>
      <c r="BD31" s="8">
        <f t="shared" si="155"/>
        <v>123.75</v>
      </c>
      <c r="BE31" s="8">
        <f t="shared" si="155"/>
        <v>126</v>
      </c>
      <c r="BF31" s="8">
        <f t="shared" si="155"/>
        <v>128.25</v>
      </c>
      <c r="BG31" s="8">
        <f t="shared" si="155"/>
        <v>130.5</v>
      </c>
      <c r="BH31" s="8">
        <f t="shared" si="155"/>
        <v>132.75</v>
      </c>
      <c r="BI31" s="8">
        <f t="shared" si="155"/>
        <v>135</v>
      </c>
      <c r="BJ31" s="8">
        <f t="shared" si="155"/>
        <v>137.25</v>
      </c>
      <c r="BK31" s="8">
        <f t="shared" si="155"/>
        <v>139.5</v>
      </c>
      <c r="BL31" s="8">
        <f t="shared" si="155"/>
        <v>141.75</v>
      </c>
      <c r="BM31" s="11">
        <f t="shared" si="155"/>
        <v>144</v>
      </c>
    </row>
    <row r="32" spans="1:65" s="5" customFormat="1" ht="14">
      <c r="A32" s="50"/>
      <c r="B32" s="73" t="s">
        <v>59</v>
      </c>
      <c r="C32" s="78">
        <f t="shared" ref="C32:H32" si="156">SUM(C29/3)</f>
        <v>8.6666666666666661</v>
      </c>
      <c r="D32" s="79">
        <f t="shared" si="156"/>
        <v>13</v>
      </c>
      <c r="E32" s="79">
        <f t="shared" si="156"/>
        <v>17.333333333333332</v>
      </c>
      <c r="F32" s="79">
        <f t="shared" si="156"/>
        <v>21.666666666666668</v>
      </c>
      <c r="G32" s="79">
        <f t="shared" si="156"/>
        <v>26</v>
      </c>
      <c r="H32" s="80">
        <f t="shared" si="156"/>
        <v>30.333333333333332</v>
      </c>
      <c r="I32" s="105">
        <f t="shared" ref="I32:R32" si="157">SUM(I$30/3)</f>
        <v>17.333333333333332</v>
      </c>
      <c r="J32" s="106">
        <f t="shared" si="157"/>
        <v>19.5</v>
      </c>
      <c r="K32" s="8">
        <f t="shared" si="157"/>
        <v>21.666666666666668</v>
      </c>
      <c r="L32" s="8">
        <f t="shared" si="157"/>
        <v>23.833333333333332</v>
      </c>
      <c r="M32" s="8">
        <f t="shared" si="157"/>
        <v>26</v>
      </c>
      <c r="N32" s="8">
        <f t="shared" si="157"/>
        <v>28.166666666666668</v>
      </c>
      <c r="O32" s="8">
        <f t="shared" si="157"/>
        <v>30.333333333333332</v>
      </c>
      <c r="P32" s="8">
        <f t="shared" si="157"/>
        <v>32.5</v>
      </c>
      <c r="Q32" s="8">
        <f t="shared" si="157"/>
        <v>34.666666666666664</v>
      </c>
      <c r="R32" s="8">
        <f t="shared" si="157"/>
        <v>36.833333333333336</v>
      </c>
      <c r="S32" s="8">
        <v>24.67</v>
      </c>
      <c r="T32" s="8">
        <f t="shared" ref="T32:BM32" si="158">SUM(T$30/3)</f>
        <v>41.166666666666664</v>
      </c>
      <c r="U32" s="8">
        <f t="shared" si="158"/>
        <v>30</v>
      </c>
      <c r="V32" s="8">
        <f t="shared" si="158"/>
        <v>31.5</v>
      </c>
      <c r="W32" s="8">
        <f t="shared" si="158"/>
        <v>33</v>
      </c>
      <c r="X32" s="8">
        <f t="shared" si="158"/>
        <v>34.5</v>
      </c>
      <c r="Y32" s="8">
        <f t="shared" si="158"/>
        <v>36</v>
      </c>
      <c r="Z32" s="8">
        <f t="shared" si="158"/>
        <v>37.5</v>
      </c>
      <c r="AA32" s="8">
        <f t="shared" si="158"/>
        <v>39</v>
      </c>
      <c r="AB32" s="8">
        <f t="shared" si="158"/>
        <v>40.5</v>
      </c>
      <c r="AC32" s="8">
        <f t="shared" si="158"/>
        <v>42</v>
      </c>
      <c r="AD32" s="8">
        <f t="shared" si="158"/>
        <v>43.5</v>
      </c>
      <c r="AE32" s="8">
        <f t="shared" si="158"/>
        <v>45</v>
      </c>
      <c r="AF32" s="8">
        <f t="shared" si="158"/>
        <v>46.5</v>
      </c>
      <c r="AG32" s="8">
        <f t="shared" si="158"/>
        <v>48</v>
      </c>
      <c r="AH32" s="8">
        <f t="shared" si="158"/>
        <v>49.5</v>
      </c>
      <c r="AI32" s="8">
        <f t="shared" si="158"/>
        <v>51</v>
      </c>
      <c r="AJ32" s="8">
        <f t="shared" si="158"/>
        <v>52.5</v>
      </c>
      <c r="AK32" s="8">
        <f t="shared" si="158"/>
        <v>54</v>
      </c>
      <c r="AL32" s="8">
        <f t="shared" si="158"/>
        <v>55.5</v>
      </c>
      <c r="AM32" s="8">
        <f t="shared" si="158"/>
        <v>57</v>
      </c>
      <c r="AN32" s="8">
        <f t="shared" si="158"/>
        <v>58.5</v>
      </c>
      <c r="AO32" s="8">
        <f t="shared" si="158"/>
        <v>60</v>
      </c>
      <c r="AP32" s="8">
        <f t="shared" si="158"/>
        <v>61.5</v>
      </c>
      <c r="AQ32" s="8">
        <f t="shared" si="158"/>
        <v>63</v>
      </c>
      <c r="AR32" s="8">
        <f t="shared" si="158"/>
        <v>64.5</v>
      </c>
      <c r="AS32" s="8">
        <f t="shared" si="158"/>
        <v>66</v>
      </c>
      <c r="AT32" s="8">
        <f t="shared" si="158"/>
        <v>67.5</v>
      </c>
      <c r="AU32" s="8">
        <f t="shared" si="158"/>
        <v>69</v>
      </c>
      <c r="AV32" s="8">
        <f t="shared" si="158"/>
        <v>70.5</v>
      </c>
      <c r="AW32" s="8">
        <f t="shared" si="158"/>
        <v>72</v>
      </c>
      <c r="AX32" s="8">
        <f t="shared" si="158"/>
        <v>73.5</v>
      </c>
      <c r="AY32" s="8">
        <f t="shared" si="158"/>
        <v>75</v>
      </c>
      <c r="AZ32" s="8">
        <f t="shared" si="158"/>
        <v>76.5</v>
      </c>
      <c r="BA32" s="8">
        <f t="shared" si="158"/>
        <v>78</v>
      </c>
      <c r="BB32" s="8">
        <f t="shared" si="158"/>
        <v>79.5</v>
      </c>
      <c r="BC32" s="8">
        <f t="shared" si="158"/>
        <v>81</v>
      </c>
      <c r="BD32" s="8">
        <f t="shared" si="158"/>
        <v>82.5</v>
      </c>
      <c r="BE32" s="8">
        <f t="shared" si="158"/>
        <v>84</v>
      </c>
      <c r="BF32" s="8">
        <f t="shared" si="158"/>
        <v>85.5</v>
      </c>
      <c r="BG32" s="8">
        <f t="shared" si="158"/>
        <v>87</v>
      </c>
      <c r="BH32" s="8">
        <f t="shared" si="158"/>
        <v>88.5</v>
      </c>
      <c r="BI32" s="8">
        <f t="shared" si="158"/>
        <v>90</v>
      </c>
      <c r="BJ32" s="8">
        <f t="shared" si="158"/>
        <v>91.5</v>
      </c>
      <c r="BK32" s="8">
        <f t="shared" si="158"/>
        <v>93</v>
      </c>
      <c r="BL32" s="8">
        <f t="shared" si="158"/>
        <v>94.5</v>
      </c>
      <c r="BM32" s="11">
        <f t="shared" si="158"/>
        <v>96</v>
      </c>
    </row>
    <row r="33" spans="1:65" s="5" customFormat="1" ht="14">
      <c r="A33" s="50"/>
      <c r="B33" s="73" t="s">
        <v>60</v>
      </c>
      <c r="C33" s="78">
        <f t="shared" ref="C33:H33" si="159">SUM(C29/4)</f>
        <v>6.5</v>
      </c>
      <c r="D33" s="79">
        <f t="shared" si="159"/>
        <v>9.75</v>
      </c>
      <c r="E33" s="79">
        <f t="shared" si="159"/>
        <v>13</v>
      </c>
      <c r="F33" s="79">
        <f t="shared" si="159"/>
        <v>16.25</v>
      </c>
      <c r="G33" s="79">
        <f t="shared" si="159"/>
        <v>19.5</v>
      </c>
      <c r="H33" s="80">
        <f t="shared" si="159"/>
        <v>22.75</v>
      </c>
      <c r="I33" s="105">
        <f t="shared" ref="I33:AN33" si="160">SUM(I$30/4)</f>
        <v>13</v>
      </c>
      <c r="J33" s="106">
        <f t="shared" si="160"/>
        <v>14.625</v>
      </c>
      <c r="K33" s="8">
        <f t="shared" si="160"/>
        <v>16.25</v>
      </c>
      <c r="L33" s="8">
        <f t="shared" si="160"/>
        <v>17.875</v>
      </c>
      <c r="M33" s="8">
        <f t="shared" si="160"/>
        <v>19.5</v>
      </c>
      <c r="N33" s="8">
        <f t="shared" si="160"/>
        <v>21.125</v>
      </c>
      <c r="O33" s="8">
        <f t="shared" si="160"/>
        <v>22.75</v>
      </c>
      <c r="P33" s="8">
        <f t="shared" si="160"/>
        <v>24.375</v>
      </c>
      <c r="Q33" s="8">
        <f t="shared" si="160"/>
        <v>26</v>
      </c>
      <c r="R33" s="8">
        <f t="shared" si="160"/>
        <v>27.625</v>
      </c>
      <c r="S33" s="8">
        <f t="shared" si="160"/>
        <v>29.25</v>
      </c>
      <c r="T33" s="8">
        <f t="shared" si="160"/>
        <v>30.875</v>
      </c>
      <c r="U33" s="8">
        <f t="shared" si="160"/>
        <v>22.5</v>
      </c>
      <c r="V33" s="8">
        <f t="shared" si="160"/>
        <v>23.625</v>
      </c>
      <c r="W33" s="8">
        <f t="shared" si="160"/>
        <v>24.75</v>
      </c>
      <c r="X33" s="8">
        <f t="shared" si="160"/>
        <v>25.875</v>
      </c>
      <c r="Y33" s="8">
        <f t="shared" si="160"/>
        <v>27</v>
      </c>
      <c r="Z33" s="8">
        <f t="shared" si="160"/>
        <v>28.125</v>
      </c>
      <c r="AA33" s="8">
        <f t="shared" si="160"/>
        <v>29.25</v>
      </c>
      <c r="AB33" s="8">
        <f t="shared" si="160"/>
        <v>30.375</v>
      </c>
      <c r="AC33" s="8">
        <f t="shared" si="160"/>
        <v>31.5</v>
      </c>
      <c r="AD33" s="8">
        <f t="shared" si="160"/>
        <v>32.625</v>
      </c>
      <c r="AE33" s="8">
        <f t="shared" si="160"/>
        <v>33.75</v>
      </c>
      <c r="AF33" s="8">
        <f t="shared" si="160"/>
        <v>34.875</v>
      </c>
      <c r="AG33" s="8">
        <f t="shared" si="160"/>
        <v>36</v>
      </c>
      <c r="AH33" s="8">
        <f t="shared" si="160"/>
        <v>37.125</v>
      </c>
      <c r="AI33" s="8">
        <f t="shared" si="160"/>
        <v>38.25</v>
      </c>
      <c r="AJ33" s="8">
        <f t="shared" si="160"/>
        <v>39.375</v>
      </c>
      <c r="AK33" s="8">
        <f t="shared" si="160"/>
        <v>40.5</v>
      </c>
      <c r="AL33" s="8">
        <f t="shared" si="160"/>
        <v>41.625</v>
      </c>
      <c r="AM33" s="8">
        <f t="shared" si="160"/>
        <v>42.75</v>
      </c>
      <c r="AN33" s="8">
        <f t="shared" si="160"/>
        <v>43.875</v>
      </c>
      <c r="AO33" s="8">
        <f t="shared" ref="AO33:BM33" si="161">SUM(AO$30/4)</f>
        <v>45</v>
      </c>
      <c r="AP33" s="8">
        <f t="shared" si="161"/>
        <v>46.125</v>
      </c>
      <c r="AQ33" s="8">
        <f t="shared" si="161"/>
        <v>47.25</v>
      </c>
      <c r="AR33" s="8">
        <f t="shared" si="161"/>
        <v>48.375</v>
      </c>
      <c r="AS33" s="8">
        <f t="shared" si="161"/>
        <v>49.5</v>
      </c>
      <c r="AT33" s="8">
        <f t="shared" si="161"/>
        <v>50.625</v>
      </c>
      <c r="AU33" s="8">
        <f t="shared" si="161"/>
        <v>51.75</v>
      </c>
      <c r="AV33" s="8">
        <f t="shared" si="161"/>
        <v>52.875</v>
      </c>
      <c r="AW33" s="8">
        <f t="shared" si="161"/>
        <v>54</v>
      </c>
      <c r="AX33" s="8">
        <f t="shared" si="161"/>
        <v>55.125</v>
      </c>
      <c r="AY33" s="8">
        <f t="shared" si="161"/>
        <v>56.25</v>
      </c>
      <c r="AZ33" s="8">
        <f t="shared" si="161"/>
        <v>57.375</v>
      </c>
      <c r="BA33" s="8">
        <f t="shared" si="161"/>
        <v>58.5</v>
      </c>
      <c r="BB33" s="8">
        <f t="shared" si="161"/>
        <v>59.625</v>
      </c>
      <c r="BC33" s="8">
        <f t="shared" si="161"/>
        <v>60.75</v>
      </c>
      <c r="BD33" s="8">
        <f t="shared" si="161"/>
        <v>61.875</v>
      </c>
      <c r="BE33" s="8">
        <f t="shared" si="161"/>
        <v>63</v>
      </c>
      <c r="BF33" s="8">
        <f t="shared" si="161"/>
        <v>64.125</v>
      </c>
      <c r="BG33" s="8">
        <f t="shared" si="161"/>
        <v>65.25</v>
      </c>
      <c r="BH33" s="8">
        <f t="shared" si="161"/>
        <v>66.375</v>
      </c>
      <c r="BI33" s="8">
        <f t="shared" si="161"/>
        <v>67.5</v>
      </c>
      <c r="BJ33" s="8">
        <f t="shared" si="161"/>
        <v>68.625</v>
      </c>
      <c r="BK33" s="8">
        <f t="shared" si="161"/>
        <v>69.75</v>
      </c>
      <c r="BL33" s="8">
        <f t="shared" si="161"/>
        <v>70.875</v>
      </c>
      <c r="BM33" s="11">
        <f t="shared" si="161"/>
        <v>72</v>
      </c>
    </row>
    <row r="34" spans="1:65" s="5" customFormat="1" ht="14">
      <c r="A34" s="50"/>
      <c r="B34" s="73" t="s">
        <v>61</v>
      </c>
      <c r="C34" s="78">
        <f t="shared" ref="C34:H34" si="162">SUM(C29/5)</f>
        <v>5.2</v>
      </c>
      <c r="D34" s="79">
        <f t="shared" si="162"/>
        <v>7.8</v>
      </c>
      <c r="E34" s="79">
        <f t="shared" si="162"/>
        <v>10.4</v>
      </c>
      <c r="F34" s="79">
        <f t="shared" si="162"/>
        <v>13</v>
      </c>
      <c r="G34" s="79">
        <f t="shared" si="162"/>
        <v>15.6</v>
      </c>
      <c r="H34" s="80">
        <f t="shared" si="162"/>
        <v>18.2</v>
      </c>
      <c r="I34" s="105">
        <f t="shared" ref="I34:AN34" si="163">SUM(I$30/5)</f>
        <v>10.4</v>
      </c>
      <c r="J34" s="106">
        <f t="shared" si="163"/>
        <v>11.7</v>
      </c>
      <c r="K34" s="8">
        <f t="shared" si="163"/>
        <v>13</v>
      </c>
      <c r="L34" s="8">
        <f t="shared" si="163"/>
        <v>14.3</v>
      </c>
      <c r="M34" s="8">
        <f t="shared" si="163"/>
        <v>15.6</v>
      </c>
      <c r="N34" s="8">
        <f t="shared" si="163"/>
        <v>16.899999999999999</v>
      </c>
      <c r="O34" s="8">
        <f t="shared" si="163"/>
        <v>18.2</v>
      </c>
      <c r="P34" s="8">
        <f t="shared" si="163"/>
        <v>19.5</v>
      </c>
      <c r="Q34" s="8">
        <f t="shared" si="163"/>
        <v>20.8</v>
      </c>
      <c r="R34" s="8">
        <f t="shared" si="163"/>
        <v>22.1</v>
      </c>
      <c r="S34" s="8">
        <f t="shared" si="163"/>
        <v>23.4</v>
      </c>
      <c r="T34" s="8">
        <f t="shared" si="163"/>
        <v>24.7</v>
      </c>
      <c r="U34" s="8">
        <f t="shared" si="163"/>
        <v>18</v>
      </c>
      <c r="V34" s="8">
        <f t="shared" si="163"/>
        <v>18.899999999999999</v>
      </c>
      <c r="W34" s="8">
        <f t="shared" si="163"/>
        <v>19.8</v>
      </c>
      <c r="X34" s="8">
        <f t="shared" si="163"/>
        <v>20.7</v>
      </c>
      <c r="Y34" s="8">
        <f t="shared" si="163"/>
        <v>21.6</v>
      </c>
      <c r="Z34" s="8">
        <f t="shared" si="163"/>
        <v>22.5</v>
      </c>
      <c r="AA34" s="8">
        <f t="shared" si="163"/>
        <v>23.4</v>
      </c>
      <c r="AB34" s="8">
        <f t="shared" si="163"/>
        <v>24.3</v>
      </c>
      <c r="AC34" s="8">
        <f t="shared" si="163"/>
        <v>25.2</v>
      </c>
      <c r="AD34" s="8">
        <f t="shared" si="163"/>
        <v>26.1</v>
      </c>
      <c r="AE34" s="8">
        <f t="shared" si="163"/>
        <v>27</v>
      </c>
      <c r="AF34" s="8">
        <f t="shared" si="163"/>
        <v>27.9</v>
      </c>
      <c r="AG34" s="8">
        <f t="shared" si="163"/>
        <v>28.8</v>
      </c>
      <c r="AH34" s="8">
        <f t="shared" si="163"/>
        <v>29.7</v>
      </c>
      <c r="AI34" s="8">
        <f t="shared" si="163"/>
        <v>30.6</v>
      </c>
      <c r="AJ34" s="8">
        <f t="shared" si="163"/>
        <v>31.5</v>
      </c>
      <c r="AK34" s="8">
        <f t="shared" si="163"/>
        <v>32.4</v>
      </c>
      <c r="AL34" s="8">
        <f t="shared" si="163"/>
        <v>33.299999999999997</v>
      </c>
      <c r="AM34" s="8">
        <f t="shared" si="163"/>
        <v>34.200000000000003</v>
      </c>
      <c r="AN34" s="8">
        <f t="shared" si="163"/>
        <v>35.1</v>
      </c>
      <c r="AO34" s="8">
        <f t="shared" ref="AO34:BM34" si="164">SUM(AO$30/5)</f>
        <v>36</v>
      </c>
      <c r="AP34" s="8">
        <f t="shared" si="164"/>
        <v>36.9</v>
      </c>
      <c r="AQ34" s="8">
        <f t="shared" si="164"/>
        <v>37.799999999999997</v>
      </c>
      <c r="AR34" s="8">
        <f t="shared" si="164"/>
        <v>38.700000000000003</v>
      </c>
      <c r="AS34" s="8">
        <f t="shared" si="164"/>
        <v>39.6</v>
      </c>
      <c r="AT34" s="8">
        <f t="shared" si="164"/>
        <v>40.5</v>
      </c>
      <c r="AU34" s="8">
        <f t="shared" si="164"/>
        <v>41.4</v>
      </c>
      <c r="AV34" s="8">
        <f t="shared" si="164"/>
        <v>42.3</v>
      </c>
      <c r="AW34" s="8">
        <f t="shared" si="164"/>
        <v>43.2</v>
      </c>
      <c r="AX34" s="8">
        <f t="shared" si="164"/>
        <v>44.1</v>
      </c>
      <c r="AY34" s="8">
        <f t="shared" si="164"/>
        <v>45</v>
      </c>
      <c r="AZ34" s="8">
        <f t="shared" si="164"/>
        <v>45.9</v>
      </c>
      <c r="BA34" s="8">
        <f t="shared" si="164"/>
        <v>46.8</v>
      </c>
      <c r="BB34" s="8">
        <f t="shared" si="164"/>
        <v>47.7</v>
      </c>
      <c r="BC34" s="8">
        <f t="shared" si="164"/>
        <v>48.6</v>
      </c>
      <c r="BD34" s="8">
        <f t="shared" si="164"/>
        <v>49.5</v>
      </c>
      <c r="BE34" s="8">
        <f t="shared" si="164"/>
        <v>50.4</v>
      </c>
      <c r="BF34" s="8">
        <f t="shared" si="164"/>
        <v>51.3</v>
      </c>
      <c r="BG34" s="8">
        <f t="shared" si="164"/>
        <v>52.2</v>
      </c>
      <c r="BH34" s="8">
        <f t="shared" si="164"/>
        <v>53.1</v>
      </c>
      <c r="BI34" s="8">
        <f t="shared" si="164"/>
        <v>54</v>
      </c>
      <c r="BJ34" s="8">
        <f t="shared" si="164"/>
        <v>54.9</v>
      </c>
      <c r="BK34" s="8">
        <f t="shared" si="164"/>
        <v>55.8</v>
      </c>
      <c r="BL34" s="8">
        <f t="shared" si="164"/>
        <v>56.7</v>
      </c>
      <c r="BM34" s="11">
        <f t="shared" si="164"/>
        <v>57.6</v>
      </c>
    </row>
    <row r="35" spans="1:65" s="5" customFormat="1" ht="14">
      <c r="A35" s="50"/>
      <c r="B35" s="73" t="s">
        <v>62</v>
      </c>
      <c r="C35" s="78">
        <f t="shared" ref="C35:H35" si="165">SUM(C29/6)</f>
        <v>4.333333333333333</v>
      </c>
      <c r="D35" s="79">
        <f t="shared" si="165"/>
        <v>6.5</v>
      </c>
      <c r="E35" s="79">
        <f t="shared" si="165"/>
        <v>8.6666666666666661</v>
      </c>
      <c r="F35" s="79">
        <f t="shared" si="165"/>
        <v>10.833333333333334</v>
      </c>
      <c r="G35" s="79">
        <f t="shared" si="165"/>
        <v>13</v>
      </c>
      <c r="H35" s="80">
        <f t="shared" si="165"/>
        <v>15.166666666666666</v>
      </c>
      <c r="I35" s="105">
        <f t="shared" ref="I35:AN35" si="166">SUM(I$30/6)</f>
        <v>8.6666666666666661</v>
      </c>
      <c r="J35" s="106">
        <f t="shared" si="166"/>
        <v>9.75</v>
      </c>
      <c r="K35" s="8">
        <f t="shared" si="166"/>
        <v>10.833333333333334</v>
      </c>
      <c r="L35" s="8">
        <f t="shared" si="166"/>
        <v>11.916666666666666</v>
      </c>
      <c r="M35" s="8">
        <f t="shared" si="166"/>
        <v>13</v>
      </c>
      <c r="N35" s="8">
        <f t="shared" si="166"/>
        <v>14.083333333333334</v>
      </c>
      <c r="O35" s="8">
        <f t="shared" si="166"/>
        <v>15.166666666666666</v>
      </c>
      <c r="P35" s="8">
        <f t="shared" si="166"/>
        <v>16.25</v>
      </c>
      <c r="Q35" s="8">
        <f t="shared" si="166"/>
        <v>17.333333333333332</v>
      </c>
      <c r="R35" s="8">
        <f t="shared" si="166"/>
        <v>18.416666666666668</v>
      </c>
      <c r="S35" s="8">
        <f t="shared" si="166"/>
        <v>19.5</v>
      </c>
      <c r="T35" s="8">
        <f t="shared" si="166"/>
        <v>20.583333333333332</v>
      </c>
      <c r="U35" s="8">
        <f t="shared" si="166"/>
        <v>15</v>
      </c>
      <c r="V35" s="8">
        <f t="shared" si="166"/>
        <v>15.75</v>
      </c>
      <c r="W35" s="8">
        <f t="shared" si="166"/>
        <v>16.5</v>
      </c>
      <c r="X35" s="8">
        <f t="shared" si="166"/>
        <v>17.25</v>
      </c>
      <c r="Y35" s="8">
        <f t="shared" si="166"/>
        <v>18</v>
      </c>
      <c r="Z35" s="8">
        <f t="shared" si="166"/>
        <v>18.75</v>
      </c>
      <c r="AA35" s="8">
        <f t="shared" si="166"/>
        <v>19.5</v>
      </c>
      <c r="AB35" s="8">
        <f t="shared" si="166"/>
        <v>20.25</v>
      </c>
      <c r="AC35" s="8">
        <f t="shared" si="166"/>
        <v>21</v>
      </c>
      <c r="AD35" s="8">
        <f t="shared" si="166"/>
        <v>21.75</v>
      </c>
      <c r="AE35" s="8">
        <f t="shared" si="166"/>
        <v>22.5</v>
      </c>
      <c r="AF35" s="8">
        <f t="shared" si="166"/>
        <v>23.25</v>
      </c>
      <c r="AG35" s="8">
        <f t="shared" si="166"/>
        <v>24</v>
      </c>
      <c r="AH35" s="8">
        <f t="shared" si="166"/>
        <v>24.75</v>
      </c>
      <c r="AI35" s="8">
        <f t="shared" si="166"/>
        <v>25.5</v>
      </c>
      <c r="AJ35" s="8">
        <f t="shared" si="166"/>
        <v>26.25</v>
      </c>
      <c r="AK35" s="8">
        <f t="shared" si="166"/>
        <v>27</v>
      </c>
      <c r="AL35" s="8">
        <f t="shared" si="166"/>
        <v>27.75</v>
      </c>
      <c r="AM35" s="8">
        <f t="shared" si="166"/>
        <v>28.5</v>
      </c>
      <c r="AN35" s="8">
        <f t="shared" si="166"/>
        <v>29.25</v>
      </c>
      <c r="AO35" s="8">
        <f t="shared" ref="AO35:BM35" si="167">SUM(AO$30/6)</f>
        <v>30</v>
      </c>
      <c r="AP35" s="8">
        <f t="shared" si="167"/>
        <v>30.75</v>
      </c>
      <c r="AQ35" s="8">
        <f t="shared" si="167"/>
        <v>31.5</v>
      </c>
      <c r="AR35" s="8">
        <f t="shared" si="167"/>
        <v>32.25</v>
      </c>
      <c r="AS35" s="8">
        <f t="shared" si="167"/>
        <v>33</v>
      </c>
      <c r="AT35" s="8">
        <f t="shared" si="167"/>
        <v>33.75</v>
      </c>
      <c r="AU35" s="8">
        <f t="shared" si="167"/>
        <v>34.5</v>
      </c>
      <c r="AV35" s="8">
        <f t="shared" si="167"/>
        <v>35.25</v>
      </c>
      <c r="AW35" s="8">
        <f t="shared" si="167"/>
        <v>36</v>
      </c>
      <c r="AX35" s="8">
        <f t="shared" si="167"/>
        <v>36.75</v>
      </c>
      <c r="AY35" s="8">
        <f t="shared" si="167"/>
        <v>37.5</v>
      </c>
      <c r="AZ35" s="86">
        <f t="shared" si="167"/>
        <v>38.25</v>
      </c>
      <c r="BA35" s="8">
        <f t="shared" si="167"/>
        <v>39</v>
      </c>
      <c r="BB35" s="8">
        <f t="shared" si="167"/>
        <v>39.75</v>
      </c>
      <c r="BC35" s="8">
        <f t="shared" si="167"/>
        <v>40.5</v>
      </c>
      <c r="BD35" s="8">
        <f t="shared" si="167"/>
        <v>41.25</v>
      </c>
      <c r="BE35" s="8">
        <f t="shared" si="167"/>
        <v>42</v>
      </c>
      <c r="BF35" s="8">
        <f t="shared" si="167"/>
        <v>42.75</v>
      </c>
      <c r="BG35" s="8">
        <f t="shared" si="167"/>
        <v>43.5</v>
      </c>
      <c r="BH35" s="8">
        <f t="shared" si="167"/>
        <v>44.25</v>
      </c>
      <c r="BI35" s="8">
        <f t="shared" si="167"/>
        <v>45</v>
      </c>
      <c r="BJ35" s="8">
        <f t="shared" si="167"/>
        <v>45.75</v>
      </c>
      <c r="BK35" s="8">
        <f t="shared" si="167"/>
        <v>46.5</v>
      </c>
      <c r="BL35" s="8">
        <f t="shared" si="167"/>
        <v>47.25</v>
      </c>
      <c r="BM35" s="11">
        <f t="shared" si="167"/>
        <v>48</v>
      </c>
    </row>
    <row r="36" spans="1:65" s="5" customFormat="1" ht="14">
      <c r="A36" s="50"/>
      <c r="B36" s="73" t="s">
        <v>63</v>
      </c>
      <c r="C36" s="78">
        <f t="shared" ref="C36:H36" si="168">SUM(C29/7)</f>
        <v>3.7142857142857144</v>
      </c>
      <c r="D36" s="79">
        <f t="shared" si="168"/>
        <v>5.5714285714285712</v>
      </c>
      <c r="E36" s="79">
        <f t="shared" si="168"/>
        <v>7.4285714285714288</v>
      </c>
      <c r="F36" s="79">
        <f t="shared" si="168"/>
        <v>9.2857142857142865</v>
      </c>
      <c r="G36" s="79">
        <f t="shared" si="168"/>
        <v>11.142857142857142</v>
      </c>
      <c r="H36" s="80">
        <f t="shared" si="168"/>
        <v>13</v>
      </c>
      <c r="I36" s="105">
        <f t="shared" ref="I36:AN36" si="169">SUM(I$30/7)</f>
        <v>7.4285714285714288</v>
      </c>
      <c r="J36" s="106">
        <f t="shared" si="169"/>
        <v>8.3571428571428577</v>
      </c>
      <c r="K36" s="8">
        <f t="shared" si="169"/>
        <v>9.2857142857142865</v>
      </c>
      <c r="L36" s="8">
        <f t="shared" si="169"/>
        <v>10.214285714285714</v>
      </c>
      <c r="M36" s="8">
        <f t="shared" si="169"/>
        <v>11.142857142857142</v>
      </c>
      <c r="N36" s="8">
        <f t="shared" si="169"/>
        <v>12.071428571428571</v>
      </c>
      <c r="O36" s="8">
        <f t="shared" si="169"/>
        <v>13</v>
      </c>
      <c r="P36" s="8">
        <f t="shared" si="169"/>
        <v>13.928571428571429</v>
      </c>
      <c r="Q36" s="8">
        <f t="shared" si="169"/>
        <v>14.857142857142858</v>
      </c>
      <c r="R36" s="8">
        <f t="shared" si="169"/>
        <v>15.785714285714286</v>
      </c>
      <c r="S36" s="8">
        <f t="shared" si="169"/>
        <v>16.714285714285715</v>
      </c>
      <c r="T36" s="8">
        <f t="shared" si="169"/>
        <v>17.642857142857142</v>
      </c>
      <c r="U36" s="8">
        <f t="shared" si="169"/>
        <v>12.857142857142858</v>
      </c>
      <c r="V36" s="8">
        <f t="shared" si="169"/>
        <v>13.5</v>
      </c>
      <c r="W36" s="8">
        <f t="shared" si="169"/>
        <v>14.142857142857142</v>
      </c>
      <c r="X36" s="8">
        <f t="shared" si="169"/>
        <v>14.785714285714286</v>
      </c>
      <c r="Y36" s="8">
        <f t="shared" si="169"/>
        <v>15.428571428571429</v>
      </c>
      <c r="Z36" s="8">
        <f t="shared" si="169"/>
        <v>16.071428571428573</v>
      </c>
      <c r="AA36" s="8">
        <f t="shared" si="169"/>
        <v>16.714285714285715</v>
      </c>
      <c r="AB36" s="8">
        <f t="shared" si="169"/>
        <v>17.357142857142858</v>
      </c>
      <c r="AC36" s="8">
        <f t="shared" si="169"/>
        <v>18</v>
      </c>
      <c r="AD36" s="8">
        <f t="shared" si="169"/>
        <v>18.642857142857142</v>
      </c>
      <c r="AE36" s="8">
        <f t="shared" si="169"/>
        <v>19.285714285714285</v>
      </c>
      <c r="AF36" s="8">
        <f t="shared" si="169"/>
        <v>19.928571428571427</v>
      </c>
      <c r="AG36" s="8">
        <f t="shared" si="169"/>
        <v>20.571428571428573</v>
      </c>
      <c r="AH36" s="8">
        <f t="shared" si="169"/>
        <v>21.214285714285715</v>
      </c>
      <c r="AI36" s="8">
        <f t="shared" si="169"/>
        <v>21.857142857142858</v>
      </c>
      <c r="AJ36" s="8">
        <f t="shared" si="169"/>
        <v>22.5</v>
      </c>
      <c r="AK36" s="8">
        <f t="shared" si="169"/>
        <v>23.142857142857142</v>
      </c>
      <c r="AL36" s="8">
        <f t="shared" si="169"/>
        <v>23.785714285714285</v>
      </c>
      <c r="AM36" s="8">
        <f t="shared" si="169"/>
        <v>24.428571428571427</v>
      </c>
      <c r="AN36" s="8">
        <f t="shared" si="169"/>
        <v>25.071428571428573</v>
      </c>
      <c r="AO36" s="8">
        <f t="shared" ref="AO36:BM36" si="170">SUM(AO$30/7)</f>
        <v>25.714285714285715</v>
      </c>
      <c r="AP36" s="8">
        <f t="shared" si="170"/>
        <v>26.357142857142858</v>
      </c>
      <c r="AQ36" s="8">
        <f t="shared" si="170"/>
        <v>27</v>
      </c>
      <c r="AR36" s="8">
        <f t="shared" si="170"/>
        <v>27.642857142857142</v>
      </c>
      <c r="AS36" s="8">
        <f t="shared" si="170"/>
        <v>28.285714285714285</v>
      </c>
      <c r="AT36" s="8">
        <f t="shared" si="170"/>
        <v>28.928571428571427</v>
      </c>
      <c r="AU36" s="8">
        <f t="shared" si="170"/>
        <v>29.571428571428573</v>
      </c>
      <c r="AV36" s="8">
        <f t="shared" si="170"/>
        <v>30.214285714285715</v>
      </c>
      <c r="AW36" s="8">
        <f t="shared" si="170"/>
        <v>30.857142857142858</v>
      </c>
      <c r="AX36" s="8">
        <f t="shared" si="170"/>
        <v>31.5</v>
      </c>
      <c r="AY36" s="8">
        <f t="shared" si="170"/>
        <v>32.142857142857146</v>
      </c>
      <c r="AZ36" s="8">
        <f t="shared" si="170"/>
        <v>32.785714285714285</v>
      </c>
      <c r="BA36" s="8">
        <f t="shared" si="170"/>
        <v>33.428571428571431</v>
      </c>
      <c r="BB36" s="8">
        <f t="shared" si="170"/>
        <v>34.071428571428569</v>
      </c>
      <c r="BC36" s="8">
        <f t="shared" si="170"/>
        <v>34.714285714285715</v>
      </c>
      <c r="BD36" s="8">
        <f t="shared" si="170"/>
        <v>35.357142857142854</v>
      </c>
      <c r="BE36" s="8">
        <f t="shared" si="170"/>
        <v>36</v>
      </c>
      <c r="BF36" s="8">
        <f t="shared" si="170"/>
        <v>36.642857142857146</v>
      </c>
      <c r="BG36" s="8">
        <f t="shared" si="170"/>
        <v>37.285714285714285</v>
      </c>
      <c r="BH36" s="8">
        <f t="shared" si="170"/>
        <v>37.928571428571431</v>
      </c>
      <c r="BI36" s="8">
        <f t="shared" si="170"/>
        <v>38.571428571428569</v>
      </c>
      <c r="BJ36" s="8">
        <f t="shared" si="170"/>
        <v>39.214285714285715</v>
      </c>
      <c r="BK36" s="8">
        <f t="shared" si="170"/>
        <v>39.857142857142854</v>
      </c>
      <c r="BL36" s="8">
        <f t="shared" si="170"/>
        <v>40.5</v>
      </c>
      <c r="BM36" s="11">
        <f t="shared" si="170"/>
        <v>41.142857142857146</v>
      </c>
    </row>
    <row r="37" spans="1:65" s="5" customFormat="1" ht="14">
      <c r="A37" s="50"/>
      <c r="B37" s="73" t="s">
        <v>64</v>
      </c>
      <c r="C37" s="78">
        <f t="shared" ref="C37:H37" si="171">SUM(C29/8)</f>
        <v>3.25</v>
      </c>
      <c r="D37" s="79">
        <f t="shared" si="171"/>
        <v>4.875</v>
      </c>
      <c r="E37" s="79">
        <f t="shared" si="171"/>
        <v>6.5</v>
      </c>
      <c r="F37" s="79">
        <f t="shared" si="171"/>
        <v>8.125</v>
      </c>
      <c r="G37" s="79">
        <f t="shared" si="171"/>
        <v>9.75</v>
      </c>
      <c r="H37" s="80">
        <f t="shared" si="171"/>
        <v>11.375</v>
      </c>
      <c r="I37" s="166">
        <f>SUM(I$30/8)</f>
        <v>6.5</v>
      </c>
      <c r="J37" s="167">
        <f>SUM(J$30/8)</f>
        <v>7.3125</v>
      </c>
      <c r="K37" s="167">
        <f t="shared" ref="K37:BM37" si="172">SUM(K$30/8)</f>
        <v>8.125</v>
      </c>
      <c r="L37" s="167">
        <f t="shared" si="172"/>
        <v>8.9375</v>
      </c>
      <c r="M37" s="167">
        <f t="shared" si="172"/>
        <v>9.75</v>
      </c>
      <c r="N37" s="167">
        <f t="shared" si="172"/>
        <v>10.5625</v>
      </c>
      <c r="O37" s="167">
        <f t="shared" si="172"/>
        <v>11.375</v>
      </c>
      <c r="P37" s="167">
        <f t="shared" si="172"/>
        <v>12.1875</v>
      </c>
      <c r="Q37" s="167">
        <f t="shared" si="172"/>
        <v>13</v>
      </c>
      <c r="R37" s="167">
        <f t="shared" si="172"/>
        <v>13.8125</v>
      </c>
      <c r="S37" s="167">
        <f t="shared" si="172"/>
        <v>14.625</v>
      </c>
      <c r="T37" s="167">
        <f t="shared" si="172"/>
        <v>15.4375</v>
      </c>
      <c r="U37" s="167">
        <f t="shared" si="172"/>
        <v>11.25</v>
      </c>
      <c r="V37" s="167">
        <f t="shared" si="172"/>
        <v>11.8125</v>
      </c>
      <c r="W37" s="167">
        <f t="shared" si="172"/>
        <v>12.375</v>
      </c>
      <c r="X37" s="167">
        <f t="shared" si="172"/>
        <v>12.9375</v>
      </c>
      <c r="Y37" s="167">
        <f t="shared" si="172"/>
        <v>13.5</v>
      </c>
      <c r="Z37" s="167">
        <f t="shared" si="172"/>
        <v>14.0625</v>
      </c>
      <c r="AA37" s="167">
        <f t="shared" si="172"/>
        <v>14.625</v>
      </c>
      <c r="AB37" s="167">
        <f t="shared" si="172"/>
        <v>15.1875</v>
      </c>
      <c r="AC37" s="167">
        <f t="shared" si="172"/>
        <v>15.75</v>
      </c>
      <c r="AD37" s="167">
        <f t="shared" si="172"/>
        <v>16.3125</v>
      </c>
      <c r="AE37" s="167">
        <f t="shared" si="172"/>
        <v>16.875</v>
      </c>
      <c r="AF37" s="167">
        <f t="shared" si="172"/>
        <v>17.4375</v>
      </c>
      <c r="AG37" s="167">
        <f t="shared" si="172"/>
        <v>18</v>
      </c>
      <c r="AH37" s="167">
        <f t="shared" si="172"/>
        <v>18.5625</v>
      </c>
      <c r="AI37" s="167">
        <f t="shared" si="172"/>
        <v>19.125</v>
      </c>
      <c r="AJ37" s="167">
        <f t="shared" si="172"/>
        <v>19.6875</v>
      </c>
      <c r="AK37" s="167">
        <f t="shared" si="172"/>
        <v>20.25</v>
      </c>
      <c r="AL37" s="167">
        <f t="shared" si="172"/>
        <v>20.8125</v>
      </c>
      <c r="AM37" s="167">
        <f t="shared" si="172"/>
        <v>21.375</v>
      </c>
      <c r="AN37" s="167">
        <f t="shared" si="172"/>
        <v>21.9375</v>
      </c>
      <c r="AO37" s="167">
        <f t="shared" si="172"/>
        <v>22.5</v>
      </c>
      <c r="AP37" s="167">
        <f t="shared" si="172"/>
        <v>23.0625</v>
      </c>
      <c r="AQ37" s="167">
        <f t="shared" si="172"/>
        <v>23.625</v>
      </c>
      <c r="AR37" s="167">
        <f t="shared" si="172"/>
        <v>24.1875</v>
      </c>
      <c r="AS37" s="167">
        <f t="shared" si="172"/>
        <v>24.75</v>
      </c>
      <c r="AT37" s="167">
        <f t="shared" si="172"/>
        <v>25.3125</v>
      </c>
      <c r="AU37" s="167">
        <f t="shared" si="172"/>
        <v>25.875</v>
      </c>
      <c r="AV37" s="167">
        <f t="shared" si="172"/>
        <v>26.4375</v>
      </c>
      <c r="AW37" s="167">
        <f t="shared" si="172"/>
        <v>27</v>
      </c>
      <c r="AX37" s="167">
        <f t="shared" si="172"/>
        <v>27.5625</v>
      </c>
      <c r="AY37" s="167">
        <f t="shared" si="172"/>
        <v>28.125</v>
      </c>
      <c r="AZ37" s="167">
        <f t="shared" si="172"/>
        <v>28.6875</v>
      </c>
      <c r="BA37" s="167">
        <f t="shared" si="172"/>
        <v>29.25</v>
      </c>
      <c r="BB37" s="167">
        <f t="shared" si="172"/>
        <v>29.8125</v>
      </c>
      <c r="BC37" s="167">
        <f t="shared" si="172"/>
        <v>30.375</v>
      </c>
      <c r="BD37" s="167">
        <f t="shared" si="172"/>
        <v>30.9375</v>
      </c>
      <c r="BE37" s="167">
        <f t="shared" si="172"/>
        <v>31.5</v>
      </c>
      <c r="BF37" s="167">
        <f t="shared" si="172"/>
        <v>32.0625</v>
      </c>
      <c r="BG37" s="167">
        <f t="shared" si="172"/>
        <v>32.625</v>
      </c>
      <c r="BH37" s="167">
        <f t="shared" si="172"/>
        <v>33.1875</v>
      </c>
      <c r="BI37" s="167">
        <f t="shared" si="172"/>
        <v>33.75</v>
      </c>
      <c r="BJ37" s="167">
        <f t="shared" si="172"/>
        <v>34.3125</v>
      </c>
      <c r="BK37" s="167">
        <f t="shared" si="172"/>
        <v>34.875</v>
      </c>
      <c r="BL37" s="167">
        <f t="shared" si="172"/>
        <v>35.4375</v>
      </c>
      <c r="BM37" s="167">
        <f t="shared" si="172"/>
        <v>36</v>
      </c>
    </row>
    <row r="38" spans="1:65" s="5" customFormat="1" ht="14">
      <c r="A38" s="85"/>
      <c r="B38" s="74" t="s">
        <v>65</v>
      </c>
      <c r="C38" s="81">
        <f t="shared" ref="C38:H38" si="173">SUM(C29/9)</f>
        <v>2.8888888888888888</v>
      </c>
      <c r="D38" s="82">
        <f t="shared" si="173"/>
        <v>4.333333333333333</v>
      </c>
      <c r="E38" s="82">
        <f t="shared" si="173"/>
        <v>5.7777777777777777</v>
      </c>
      <c r="F38" s="82">
        <f t="shared" si="173"/>
        <v>7.2222222222222223</v>
      </c>
      <c r="G38" s="82">
        <f t="shared" si="173"/>
        <v>8.6666666666666661</v>
      </c>
      <c r="H38" s="83">
        <f t="shared" si="173"/>
        <v>10.111111111111111</v>
      </c>
      <c r="I38" s="168">
        <f>SUM(I$30/9)</f>
        <v>5.7777777777777777</v>
      </c>
      <c r="J38" s="169">
        <f>SUM(J$30/9)</f>
        <v>6.5</v>
      </c>
      <c r="K38" s="169">
        <f t="shared" ref="K38:BM38" si="174">SUM(K$30/9)</f>
        <v>7.2222222222222223</v>
      </c>
      <c r="L38" s="169">
        <f t="shared" si="174"/>
        <v>7.9444444444444446</v>
      </c>
      <c r="M38" s="169">
        <f t="shared" si="174"/>
        <v>8.6666666666666661</v>
      </c>
      <c r="N38" s="169">
        <f t="shared" si="174"/>
        <v>9.3888888888888893</v>
      </c>
      <c r="O38" s="169">
        <f t="shared" si="174"/>
        <v>10.111111111111111</v>
      </c>
      <c r="P38" s="169">
        <f t="shared" si="174"/>
        <v>10.833333333333334</v>
      </c>
      <c r="Q38" s="169">
        <f t="shared" si="174"/>
        <v>11.555555555555555</v>
      </c>
      <c r="R38" s="169">
        <f t="shared" si="174"/>
        <v>12.277777777777779</v>
      </c>
      <c r="S38" s="169">
        <f t="shared" si="174"/>
        <v>13</v>
      </c>
      <c r="T38" s="169">
        <f t="shared" si="174"/>
        <v>13.722222222222221</v>
      </c>
      <c r="U38" s="169">
        <f t="shared" si="174"/>
        <v>10</v>
      </c>
      <c r="V38" s="169">
        <f t="shared" si="174"/>
        <v>10.5</v>
      </c>
      <c r="W38" s="169">
        <f t="shared" si="174"/>
        <v>11</v>
      </c>
      <c r="X38" s="169">
        <f t="shared" si="174"/>
        <v>11.5</v>
      </c>
      <c r="Y38" s="169">
        <f t="shared" si="174"/>
        <v>12</v>
      </c>
      <c r="Z38" s="169">
        <f t="shared" si="174"/>
        <v>12.5</v>
      </c>
      <c r="AA38" s="169">
        <f t="shared" si="174"/>
        <v>13</v>
      </c>
      <c r="AB38" s="169">
        <f t="shared" si="174"/>
        <v>13.5</v>
      </c>
      <c r="AC38" s="169">
        <f t="shared" si="174"/>
        <v>14</v>
      </c>
      <c r="AD38" s="169">
        <f t="shared" si="174"/>
        <v>14.5</v>
      </c>
      <c r="AE38" s="169">
        <f t="shared" si="174"/>
        <v>15</v>
      </c>
      <c r="AF38" s="169">
        <f t="shared" si="174"/>
        <v>15.5</v>
      </c>
      <c r="AG38" s="169">
        <f t="shared" si="174"/>
        <v>16</v>
      </c>
      <c r="AH38" s="169">
        <f t="shared" si="174"/>
        <v>16.5</v>
      </c>
      <c r="AI38" s="169">
        <f t="shared" si="174"/>
        <v>17</v>
      </c>
      <c r="AJ38" s="169">
        <f t="shared" si="174"/>
        <v>17.5</v>
      </c>
      <c r="AK38" s="169">
        <f t="shared" si="174"/>
        <v>18</v>
      </c>
      <c r="AL38" s="169">
        <f t="shared" si="174"/>
        <v>18.5</v>
      </c>
      <c r="AM38" s="169">
        <f t="shared" si="174"/>
        <v>19</v>
      </c>
      <c r="AN38" s="169">
        <f t="shared" si="174"/>
        <v>19.5</v>
      </c>
      <c r="AO38" s="169">
        <f t="shared" si="174"/>
        <v>20</v>
      </c>
      <c r="AP38" s="169">
        <f t="shared" si="174"/>
        <v>20.5</v>
      </c>
      <c r="AQ38" s="169">
        <f t="shared" si="174"/>
        <v>21</v>
      </c>
      <c r="AR38" s="169">
        <f t="shared" si="174"/>
        <v>21.5</v>
      </c>
      <c r="AS38" s="169">
        <f t="shared" si="174"/>
        <v>22</v>
      </c>
      <c r="AT38" s="169">
        <f t="shared" si="174"/>
        <v>22.5</v>
      </c>
      <c r="AU38" s="169">
        <f t="shared" si="174"/>
        <v>23</v>
      </c>
      <c r="AV38" s="169">
        <f t="shared" si="174"/>
        <v>23.5</v>
      </c>
      <c r="AW38" s="169">
        <f t="shared" si="174"/>
        <v>24</v>
      </c>
      <c r="AX38" s="169">
        <f t="shared" si="174"/>
        <v>24.5</v>
      </c>
      <c r="AY38" s="169">
        <f t="shared" si="174"/>
        <v>25</v>
      </c>
      <c r="AZ38" s="169">
        <f t="shared" si="174"/>
        <v>25.5</v>
      </c>
      <c r="BA38" s="169">
        <f t="shared" si="174"/>
        <v>26</v>
      </c>
      <c r="BB38" s="169">
        <f t="shared" si="174"/>
        <v>26.5</v>
      </c>
      <c r="BC38" s="169">
        <f t="shared" si="174"/>
        <v>27</v>
      </c>
      <c r="BD38" s="169">
        <f t="shared" si="174"/>
        <v>27.5</v>
      </c>
      <c r="BE38" s="169">
        <f t="shared" si="174"/>
        <v>28</v>
      </c>
      <c r="BF38" s="169">
        <f t="shared" si="174"/>
        <v>28.5</v>
      </c>
      <c r="BG38" s="169">
        <f t="shared" si="174"/>
        <v>29</v>
      </c>
      <c r="BH38" s="169">
        <f t="shared" si="174"/>
        <v>29.5</v>
      </c>
      <c r="BI38" s="169">
        <f t="shared" si="174"/>
        <v>30</v>
      </c>
      <c r="BJ38" s="169">
        <f t="shared" si="174"/>
        <v>30.5</v>
      </c>
      <c r="BK38" s="169">
        <f t="shared" si="174"/>
        <v>31</v>
      </c>
      <c r="BL38" s="169">
        <f t="shared" si="174"/>
        <v>31.5</v>
      </c>
      <c r="BM38" s="169">
        <f t="shared" si="174"/>
        <v>32</v>
      </c>
    </row>
    <row r="39" spans="1:65" s="5" customFormat="1" ht="17" customHeight="1" thickBot="1">
      <c r="A39" s="93"/>
      <c r="B39" s="170" t="s">
        <v>54</v>
      </c>
      <c r="C39" s="171">
        <v>1</v>
      </c>
      <c r="D39" s="171">
        <v>1</v>
      </c>
      <c r="E39" s="171">
        <v>1</v>
      </c>
      <c r="F39" s="171">
        <v>1</v>
      </c>
      <c r="G39" s="171">
        <v>1</v>
      </c>
      <c r="H39" s="171">
        <v>1</v>
      </c>
      <c r="I39" s="172">
        <v>2</v>
      </c>
      <c r="J39" s="172">
        <v>2</v>
      </c>
      <c r="K39" s="172">
        <v>2</v>
      </c>
      <c r="L39" s="172">
        <v>2</v>
      </c>
      <c r="M39" s="172">
        <v>2</v>
      </c>
      <c r="N39" s="172">
        <v>2</v>
      </c>
      <c r="O39" s="172">
        <v>2</v>
      </c>
      <c r="P39" s="172">
        <v>2</v>
      </c>
      <c r="Q39" s="172">
        <v>2</v>
      </c>
      <c r="R39" s="172">
        <v>2</v>
      </c>
      <c r="S39" s="172">
        <v>2</v>
      </c>
      <c r="T39" s="172">
        <v>2</v>
      </c>
      <c r="U39" s="172">
        <v>2</v>
      </c>
      <c r="V39" s="172">
        <v>2</v>
      </c>
      <c r="W39" s="172">
        <v>2</v>
      </c>
      <c r="X39" s="172">
        <v>2</v>
      </c>
      <c r="Y39" s="172">
        <v>2</v>
      </c>
      <c r="Z39" s="172">
        <v>2</v>
      </c>
      <c r="AA39" s="172">
        <v>2</v>
      </c>
      <c r="AB39" s="172">
        <v>2</v>
      </c>
      <c r="AC39" s="172">
        <v>2</v>
      </c>
      <c r="AD39" s="172">
        <v>2</v>
      </c>
      <c r="AE39" s="172">
        <v>2</v>
      </c>
      <c r="AF39" s="172">
        <v>2</v>
      </c>
      <c r="AG39" s="172">
        <v>2</v>
      </c>
      <c r="AH39" s="172">
        <v>2</v>
      </c>
      <c r="AI39" s="172">
        <v>2</v>
      </c>
      <c r="AJ39" s="172">
        <v>2</v>
      </c>
      <c r="AK39" s="172">
        <v>2</v>
      </c>
      <c r="AL39" s="172">
        <v>2</v>
      </c>
      <c r="AM39" s="172">
        <v>2</v>
      </c>
      <c r="AN39" s="172">
        <v>2</v>
      </c>
      <c r="AO39" s="172">
        <v>2</v>
      </c>
      <c r="AP39" s="172">
        <v>2</v>
      </c>
      <c r="AQ39" s="172">
        <v>2</v>
      </c>
      <c r="AR39" s="172">
        <v>2</v>
      </c>
      <c r="AS39" s="172">
        <v>2</v>
      </c>
      <c r="AT39" s="172">
        <v>2</v>
      </c>
      <c r="AU39" s="172">
        <v>2</v>
      </c>
      <c r="AV39" s="172">
        <v>2</v>
      </c>
      <c r="AW39" s="172">
        <v>2</v>
      </c>
      <c r="AX39" s="172">
        <v>2</v>
      </c>
      <c r="AY39" s="172">
        <v>2</v>
      </c>
      <c r="AZ39" s="172">
        <v>2</v>
      </c>
      <c r="BA39" s="172">
        <v>2</v>
      </c>
      <c r="BB39" s="172">
        <v>2</v>
      </c>
      <c r="BC39" s="172">
        <v>2</v>
      </c>
      <c r="BD39" s="172">
        <v>2</v>
      </c>
      <c r="BE39" s="172">
        <v>2</v>
      </c>
      <c r="BF39" s="172">
        <v>2</v>
      </c>
      <c r="BG39" s="172">
        <v>2</v>
      </c>
      <c r="BH39" s="172">
        <v>2</v>
      </c>
      <c r="BI39" s="172">
        <v>2</v>
      </c>
      <c r="BJ39" s="172">
        <v>2</v>
      </c>
      <c r="BK39" s="172">
        <v>2</v>
      </c>
      <c r="BL39" s="172">
        <v>2</v>
      </c>
      <c r="BM39" s="172">
        <v>2</v>
      </c>
    </row>
    <row r="40" spans="1:65" ht="18">
      <c r="A40" s="66" t="s">
        <v>66</v>
      </c>
      <c r="B40" s="71">
        <v>4</v>
      </c>
      <c r="C40" s="173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5"/>
      <c r="U40" s="183">
        <f t="shared" ref="U40:BM40" si="175">SUM(U27*$B40)</f>
        <v>80</v>
      </c>
      <c r="V40" s="64">
        <f t="shared" si="175"/>
        <v>84</v>
      </c>
      <c r="W40" s="64">
        <f t="shared" si="175"/>
        <v>88</v>
      </c>
      <c r="X40" s="64">
        <f t="shared" si="175"/>
        <v>92</v>
      </c>
      <c r="Y40" s="64">
        <f t="shared" si="175"/>
        <v>96</v>
      </c>
      <c r="Z40" s="64">
        <f t="shared" si="175"/>
        <v>100</v>
      </c>
      <c r="AA40" s="64">
        <f t="shared" si="175"/>
        <v>104</v>
      </c>
      <c r="AB40" s="64">
        <f t="shared" si="175"/>
        <v>108</v>
      </c>
      <c r="AC40" s="64">
        <f t="shared" si="175"/>
        <v>112</v>
      </c>
      <c r="AD40" s="64">
        <f t="shared" si="175"/>
        <v>116</v>
      </c>
      <c r="AE40" s="64">
        <f t="shared" si="175"/>
        <v>120</v>
      </c>
      <c r="AF40" s="64">
        <f t="shared" si="175"/>
        <v>124</v>
      </c>
      <c r="AG40" s="64">
        <f t="shared" si="175"/>
        <v>128</v>
      </c>
      <c r="AH40" s="64">
        <f t="shared" si="175"/>
        <v>132</v>
      </c>
      <c r="AI40" s="64">
        <f t="shared" si="175"/>
        <v>136</v>
      </c>
      <c r="AJ40" s="64">
        <f t="shared" si="175"/>
        <v>140</v>
      </c>
      <c r="AK40" s="64">
        <f t="shared" si="175"/>
        <v>144</v>
      </c>
      <c r="AL40" s="64">
        <f t="shared" si="175"/>
        <v>148</v>
      </c>
      <c r="AM40" s="64">
        <f t="shared" si="175"/>
        <v>152</v>
      </c>
      <c r="AN40" s="64">
        <f t="shared" si="175"/>
        <v>156</v>
      </c>
      <c r="AO40" s="64">
        <f t="shared" si="175"/>
        <v>160</v>
      </c>
      <c r="AP40" s="64">
        <f t="shared" si="175"/>
        <v>164</v>
      </c>
      <c r="AQ40" s="64">
        <f t="shared" si="175"/>
        <v>168</v>
      </c>
      <c r="AR40" s="64">
        <f t="shared" si="175"/>
        <v>172</v>
      </c>
      <c r="AS40" s="64">
        <f t="shared" si="175"/>
        <v>176</v>
      </c>
      <c r="AT40" s="64">
        <f t="shared" si="175"/>
        <v>180</v>
      </c>
      <c r="AU40" s="64">
        <f t="shared" si="175"/>
        <v>184</v>
      </c>
      <c r="AV40" s="64">
        <f t="shared" si="175"/>
        <v>188</v>
      </c>
      <c r="AW40" s="64">
        <f t="shared" si="175"/>
        <v>192</v>
      </c>
      <c r="AX40" s="64">
        <f t="shared" si="175"/>
        <v>196</v>
      </c>
      <c r="AY40" s="64">
        <f t="shared" si="175"/>
        <v>200</v>
      </c>
      <c r="AZ40" s="64">
        <f t="shared" si="175"/>
        <v>204</v>
      </c>
      <c r="BA40" s="64">
        <f t="shared" si="175"/>
        <v>208</v>
      </c>
      <c r="BB40" s="64">
        <f t="shared" si="175"/>
        <v>212</v>
      </c>
      <c r="BC40" s="64">
        <f t="shared" si="175"/>
        <v>216</v>
      </c>
      <c r="BD40" s="64">
        <f t="shared" si="175"/>
        <v>220</v>
      </c>
      <c r="BE40" s="64">
        <f t="shared" si="175"/>
        <v>224</v>
      </c>
      <c r="BF40" s="64">
        <f t="shared" si="175"/>
        <v>228</v>
      </c>
      <c r="BG40" s="64">
        <f t="shared" si="175"/>
        <v>232</v>
      </c>
      <c r="BH40" s="64">
        <f t="shared" si="175"/>
        <v>236</v>
      </c>
      <c r="BI40" s="64">
        <f t="shared" si="175"/>
        <v>240</v>
      </c>
      <c r="BJ40" s="64">
        <f t="shared" si="175"/>
        <v>244</v>
      </c>
      <c r="BK40" s="64">
        <f t="shared" si="175"/>
        <v>248</v>
      </c>
      <c r="BL40" s="64">
        <f t="shared" si="175"/>
        <v>252</v>
      </c>
      <c r="BM40" s="64">
        <f t="shared" si="175"/>
        <v>256</v>
      </c>
    </row>
    <row r="41" spans="1:65" s="5" customFormat="1" ht="16" customHeight="1">
      <c r="A41" s="98" t="s">
        <v>67</v>
      </c>
      <c r="B41" s="30" t="s">
        <v>41</v>
      </c>
      <c r="C41" s="176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8"/>
      <c r="U41" s="184">
        <f t="shared" ref="U41:BM41" si="176">SUM(U40/4)</f>
        <v>20</v>
      </c>
      <c r="V41" s="13">
        <f t="shared" si="176"/>
        <v>21</v>
      </c>
      <c r="W41" s="13">
        <f t="shared" si="176"/>
        <v>22</v>
      </c>
      <c r="X41" s="13">
        <f t="shared" si="176"/>
        <v>23</v>
      </c>
      <c r="Y41" s="13">
        <f t="shared" si="176"/>
        <v>24</v>
      </c>
      <c r="Z41" s="13">
        <f t="shared" si="176"/>
        <v>25</v>
      </c>
      <c r="AA41" s="13">
        <f t="shared" si="176"/>
        <v>26</v>
      </c>
      <c r="AB41" s="13">
        <f t="shared" si="176"/>
        <v>27</v>
      </c>
      <c r="AC41" s="13">
        <f t="shared" si="176"/>
        <v>28</v>
      </c>
      <c r="AD41" s="13">
        <f t="shared" si="176"/>
        <v>29</v>
      </c>
      <c r="AE41" s="13">
        <f t="shared" si="176"/>
        <v>30</v>
      </c>
      <c r="AF41" s="13">
        <f t="shared" si="176"/>
        <v>31</v>
      </c>
      <c r="AG41" s="13">
        <f t="shared" si="176"/>
        <v>32</v>
      </c>
      <c r="AH41" s="13">
        <f t="shared" si="176"/>
        <v>33</v>
      </c>
      <c r="AI41" s="13">
        <f t="shared" si="176"/>
        <v>34</v>
      </c>
      <c r="AJ41" s="13">
        <f t="shared" si="176"/>
        <v>35</v>
      </c>
      <c r="AK41" s="13">
        <f t="shared" si="176"/>
        <v>36</v>
      </c>
      <c r="AL41" s="13">
        <f t="shared" si="176"/>
        <v>37</v>
      </c>
      <c r="AM41" s="13">
        <f t="shared" si="176"/>
        <v>38</v>
      </c>
      <c r="AN41" s="13">
        <f t="shared" si="176"/>
        <v>39</v>
      </c>
      <c r="AO41" s="13">
        <f t="shared" si="176"/>
        <v>40</v>
      </c>
      <c r="AP41" s="13">
        <f t="shared" si="176"/>
        <v>41</v>
      </c>
      <c r="AQ41" s="13">
        <f t="shared" si="176"/>
        <v>42</v>
      </c>
      <c r="AR41" s="13">
        <f t="shared" si="176"/>
        <v>43</v>
      </c>
      <c r="AS41" s="13">
        <f t="shared" si="176"/>
        <v>44</v>
      </c>
      <c r="AT41" s="13">
        <f t="shared" si="176"/>
        <v>45</v>
      </c>
      <c r="AU41" s="13">
        <f t="shared" si="176"/>
        <v>46</v>
      </c>
      <c r="AV41" s="13">
        <f t="shared" si="176"/>
        <v>47</v>
      </c>
      <c r="AW41" s="13">
        <f t="shared" si="176"/>
        <v>48</v>
      </c>
      <c r="AX41" s="13">
        <f t="shared" si="176"/>
        <v>49</v>
      </c>
      <c r="AY41" s="13">
        <f t="shared" si="176"/>
        <v>50</v>
      </c>
      <c r="AZ41" s="13">
        <f t="shared" si="176"/>
        <v>51</v>
      </c>
      <c r="BA41" s="13">
        <f t="shared" si="176"/>
        <v>52</v>
      </c>
      <c r="BB41" s="13">
        <f t="shared" si="176"/>
        <v>53</v>
      </c>
      <c r="BC41" s="13">
        <f t="shared" si="176"/>
        <v>54</v>
      </c>
      <c r="BD41" s="13">
        <f t="shared" si="176"/>
        <v>55</v>
      </c>
      <c r="BE41" s="13">
        <f t="shared" si="176"/>
        <v>56</v>
      </c>
      <c r="BF41" s="13">
        <f t="shared" si="176"/>
        <v>57</v>
      </c>
      <c r="BG41" s="13">
        <f t="shared" si="176"/>
        <v>58</v>
      </c>
      <c r="BH41" s="13">
        <f t="shared" si="176"/>
        <v>59</v>
      </c>
      <c r="BI41" s="13">
        <f t="shared" si="176"/>
        <v>60</v>
      </c>
      <c r="BJ41" s="13">
        <f t="shared" si="176"/>
        <v>61</v>
      </c>
      <c r="BK41" s="13">
        <f t="shared" si="176"/>
        <v>62</v>
      </c>
      <c r="BL41" s="13">
        <f t="shared" si="176"/>
        <v>63</v>
      </c>
      <c r="BM41" s="13">
        <f t="shared" si="176"/>
        <v>64</v>
      </c>
    </row>
    <row r="42" spans="1:65" s="111" customFormat="1" ht="19" thickBot="1">
      <c r="A42" s="109"/>
      <c r="B42" s="110" t="s">
        <v>54</v>
      </c>
      <c r="C42" s="435" t="s">
        <v>47</v>
      </c>
      <c r="D42" s="179" t="s">
        <v>47</v>
      </c>
      <c r="E42" s="179" t="s">
        <v>47</v>
      </c>
      <c r="F42" s="179" t="s">
        <v>47</v>
      </c>
      <c r="G42" s="179" t="s">
        <v>47</v>
      </c>
      <c r="H42" s="179" t="s">
        <v>47</v>
      </c>
      <c r="I42" s="179" t="s">
        <v>47</v>
      </c>
      <c r="J42" s="179" t="s">
        <v>47</v>
      </c>
      <c r="K42" s="179" t="s">
        <v>47</v>
      </c>
      <c r="L42" s="179" t="s">
        <v>47</v>
      </c>
      <c r="M42" s="179" t="s">
        <v>47</v>
      </c>
      <c r="N42" s="179" t="s">
        <v>47</v>
      </c>
      <c r="O42" s="179" t="s">
        <v>47</v>
      </c>
      <c r="P42" s="179" t="s">
        <v>47</v>
      </c>
      <c r="Q42" s="179" t="s">
        <v>47</v>
      </c>
      <c r="R42" s="179" t="s">
        <v>47</v>
      </c>
      <c r="S42" s="179" t="s">
        <v>47</v>
      </c>
      <c r="T42" s="185" t="s">
        <v>47</v>
      </c>
      <c r="U42" s="180">
        <v>4</v>
      </c>
      <c r="V42" s="180">
        <v>4</v>
      </c>
      <c r="W42" s="180">
        <v>4</v>
      </c>
      <c r="X42" s="180">
        <v>4</v>
      </c>
      <c r="Y42" s="180">
        <v>4</v>
      </c>
      <c r="Z42" s="180">
        <v>4</v>
      </c>
      <c r="AA42" s="180">
        <v>4</v>
      </c>
      <c r="AB42" s="180">
        <v>4</v>
      </c>
      <c r="AC42" s="180">
        <v>4</v>
      </c>
      <c r="AD42" s="180">
        <v>4</v>
      </c>
      <c r="AE42" s="180">
        <v>4</v>
      </c>
      <c r="AF42" s="180">
        <v>4</v>
      </c>
      <c r="AG42" s="180">
        <v>4</v>
      </c>
      <c r="AH42" s="180">
        <v>4</v>
      </c>
      <c r="AI42" s="180">
        <v>4</v>
      </c>
      <c r="AJ42" s="180">
        <v>4</v>
      </c>
      <c r="AK42" s="180">
        <v>4</v>
      </c>
      <c r="AL42" s="180">
        <v>4</v>
      </c>
      <c r="AM42" s="180">
        <v>4</v>
      </c>
      <c r="AN42" s="180">
        <v>4</v>
      </c>
      <c r="AO42" s="180">
        <v>4</v>
      </c>
      <c r="AP42" s="180">
        <v>4</v>
      </c>
      <c r="AQ42" s="180">
        <v>4</v>
      </c>
      <c r="AR42" s="180">
        <v>4</v>
      </c>
      <c r="AS42" s="180">
        <v>4</v>
      </c>
      <c r="AT42" s="180">
        <v>4</v>
      </c>
      <c r="AU42" s="180">
        <v>4</v>
      </c>
      <c r="AV42" s="180">
        <v>4</v>
      </c>
      <c r="AW42" s="180">
        <v>4</v>
      </c>
      <c r="AX42" s="180">
        <v>4</v>
      </c>
      <c r="AY42" s="180">
        <v>4</v>
      </c>
      <c r="AZ42" s="180">
        <v>4</v>
      </c>
      <c r="BA42" s="180">
        <v>4</v>
      </c>
      <c r="BB42" s="180">
        <v>4</v>
      </c>
      <c r="BC42" s="180">
        <v>4</v>
      </c>
      <c r="BD42" s="180">
        <v>4</v>
      </c>
      <c r="BE42" s="180">
        <v>4</v>
      </c>
      <c r="BF42" s="180">
        <v>4</v>
      </c>
      <c r="BG42" s="180">
        <v>4</v>
      </c>
      <c r="BH42" s="180">
        <v>4</v>
      </c>
      <c r="BI42" s="180">
        <v>4</v>
      </c>
      <c r="BJ42" s="180">
        <v>4</v>
      </c>
      <c r="BK42" s="180">
        <v>4</v>
      </c>
      <c r="BL42" s="180">
        <v>4</v>
      </c>
      <c r="BM42" s="180">
        <v>4</v>
      </c>
    </row>
    <row r="44" spans="1:65" ht="16">
      <c r="A44" s="625" t="s">
        <v>68</v>
      </c>
      <c r="B44" s="625"/>
      <c r="C44" s="92">
        <f>SUM(SUM(COUNT(C17:C23,C9:C11,C40:C42,C29)+3)/C14)</f>
        <v>2</v>
      </c>
      <c r="D44" s="92">
        <f t="shared" ref="D44:P44" si="177">SUM(SUM(COUNT(D17:D23,D10:D11,D41:D42,D29)+3)/D14)</f>
        <v>1.3333333333333333</v>
      </c>
      <c r="E44" s="92">
        <f t="shared" si="177"/>
        <v>1.5</v>
      </c>
      <c r="F44" s="92">
        <f t="shared" si="177"/>
        <v>1.2</v>
      </c>
      <c r="G44" s="92">
        <f t="shared" si="177"/>
        <v>1</v>
      </c>
      <c r="H44" s="92">
        <f t="shared" si="177"/>
        <v>0.8571428571428571</v>
      </c>
      <c r="I44" s="92">
        <f t="shared" si="177"/>
        <v>0.875</v>
      </c>
      <c r="J44" s="92">
        <f t="shared" si="177"/>
        <v>0.77777777777777779</v>
      </c>
      <c r="K44" s="92">
        <f t="shared" si="177"/>
        <v>0.7</v>
      </c>
      <c r="L44" s="92">
        <f t="shared" si="177"/>
        <v>0.63636363636363635</v>
      </c>
      <c r="M44" s="92">
        <f t="shared" si="177"/>
        <v>0.58333333333333337</v>
      </c>
      <c r="N44" s="92">
        <f t="shared" si="177"/>
        <v>0.53846153846153844</v>
      </c>
      <c r="O44" s="92">
        <f t="shared" si="177"/>
        <v>0.5</v>
      </c>
      <c r="P44" s="92">
        <f t="shared" si="177"/>
        <v>0.46666666666666667</v>
      </c>
      <c r="Q44" s="92">
        <f t="shared" ref="Q44:AJ44" si="178">SUM(SUM(COUNT(Q17:Q23,Q10:Q11,Q41:Q42,Q29)+5)/Q14)</f>
        <v>0.8125</v>
      </c>
      <c r="R44" s="92">
        <f t="shared" si="178"/>
        <v>0.76470588235294112</v>
      </c>
      <c r="S44" s="92">
        <f t="shared" si="178"/>
        <v>0.72222222222222221</v>
      </c>
      <c r="T44" s="92">
        <f t="shared" si="178"/>
        <v>0.68421052631578949</v>
      </c>
      <c r="U44" s="92">
        <f t="shared" si="178"/>
        <v>0.75</v>
      </c>
      <c r="V44" s="92">
        <f t="shared" si="178"/>
        <v>0.7142857142857143</v>
      </c>
      <c r="W44" s="92">
        <f t="shared" si="178"/>
        <v>0.68181818181818177</v>
      </c>
      <c r="X44" s="92">
        <f t="shared" si="178"/>
        <v>0.65217391304347827</v>
      </c>
      <c r="Y44" s="92">
        <f t="shared" si="178"/>
        <v>0.625</v>
      </c>
      <c r="Z44" s="92">
        <f t="shared" si="178"/>
        <v>0.6</v>
      </c>
      <c r="AA44" s="92">
        <f t="shared" si="178"/>
        <v>0.57692307692307687</v>
      </c>
      <c r="AB44" s="92">
        <f t="shared" si="178"/>
        <v>0.55555555555555558</v>
      </c>
      <c r="AC44" s="92">
        <f t="shared" si="178"/>
        <v>0.6071428571428571</v>
      </c>
      <c r="AD44" s="92">
        <f t="shared" si="178"/>
        <v>0.58620689655172409</v>
      </c>
      <c r="AE44" s="92">
        <f t="shared" si="178"/>
        <v>0.56666666666666665</v>
      </c>
      <c r="AF44" s="92">
        <f t="shared" si="178"/>
        <v>0.54838709677419351</v>
      </c>
      <c r="AG44" s="92">
        <f t="shared" si="178"/>
        <v>0.53125</v>
      </c>
      <c r="AH44" s="92">
        <f t="shared" si="178"/>
        <v>0.51515151515151514</v>
      </c>
      <c r="AI44" s="92">
        <f t="shared" si="178"/>
        <v>0.5</v>
      </c>
      <c r="AJ44" s="92">
        <f t="shared" si="178"/>
        <v>0.48571428571428571</v>
      </c>
      <c r="AK44" s="92">
        <f t="shared" ref="AK44:BM44" si="179">SUM(SUM(COUNT(AK17:AK23,AK10:AK11,AK41:AK42,AK29)+7)/AK14)</f>
        <v>0.52777777777777779</v>
      </c>
      <c r="AL44" s="92">
        <f t="shared" si="179"/>
        <v>0.51351351351351349</v>
      </c>
      <c r="AM44" s="92">
        <f t="shared" si="179"/>
        <v>0.5</v>
      </c>
      <c r="AN44" s="92">
        <f t="shared" si="179"/>
        <v>0.48717948717948717</v>
      </c>
      <c r="AO44" s="92">
        <f t="shared" si="179"/>
        <v>0.47499999999999998</v>
      </c>
      <c r="AP44" s="92">
        <f t="shared" si="179"/>
        <v>0.46341463414634149</v>
      </c>
      <c r="AQ44" s="92">
        <f t="shared" si="179"/>
        <v>0.45238095238095238</v>
      </c>
      <c r="AR44" s="92">
        <f t="shared" si="179"/>
        <v>0.44186046511627908</v>
      </c>
      <c r="AS44" s="92">
        <f t="shared" si="179"/>
        <v>0.43181818181818182</v>
      </c>
      <c r="AT44" s="92">
        <f t="shared" si="179"/>
        <v>0.42222222222222222</v>
      </c>
      <c r="AU44" s="92">
        <f t="shared" si="179"/>
        <v>0.41304347826086957</v>
      </c>
      <c r="AV44" s="92">
        <f t="shared" si="179"/>
        <v>0.40425531914893614</v>
      </c>
      <c r="AW44" s="92">
        <f t="shared" si="179"/>
        <v>0.39583333333333331</v>
      </c>
      <c r="AX44" s="92">
        <f t="shared" si="179"/>
        <v>0.38775510204081631</v>
      </c>
      <c r="AY44" s="92">
        <f t="shared" si="179"/>
        <v>0.38</v>
      </c>
      <c r="AZ44" s="92">
        <f t="shared" si="179"/>
        <v>0.37254901960784315</v>
      </c>
      <c r="BA44" s="92">
        <f t="shared" si="179"/>
        <v>0.36538461538461536</v>
      </c>
      <c r="BB44" s="92">
        <f t="shared" si="179"/>
        <v>0.35849056603773582</v>
      </c>
      <c r="BC44" s="92">
        <f t="shared" si="179"/>
        <v>0.35185185185185186</v>
      </c>
      <c r="BD44" s="92">
        <f t="shared" si="179"/>
        <v>0.34545454545454546</v>
      </c>
      <c r="BE44" s="92">
        <f t="shared" si="179"/>
        <v>0.3392857142857143</v>
      </c>
      <c r="BF44" s="92">
        <f t="shared" si="179"/>
        <v>0.33333333333333331</v>
      </c>
      <c r="BG44" s="92">
        <f t="shared" si="179"/>
        <v>0.32758620689655171</v>
      </c>
      <c r="BH44" s="92">
        <f t="shared" si="179"/>
        <v>0.32203389830508472</v>
      </c>
      <c r="BI44" s="92">
        <f t="shared" si="179"/>
        <v>0.31666666666666665</v>
      </c>
      <c r="BJ44" s="92">
        <f t="shared" si="179"/>
        <v>0.31147540983606559</v>
      </c>
      <c r="BK44" s="92">
        <f t="shared" si="179"/>
        <v>0.30645161290322581</v>
      </c>
      <c r="BL44" s="92">
        <f t="shared" si="179"/>
        <v>0.30158730158730157</v>
      </c>
      <c r="BM44" s="92">
        <f t="shared" si="179"/>
        <v>0.296875</v>
      </c>
    </row>
    <row r="45" spans="1:65" ht="16">
      <c r="B45" s="3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1:65" s="97" customFormat="1" ht="14">
      <c r="A46" s="94"/>
      <c r="B46" s="95" t="s">
        <v>69</v>
      </c>
      <c r="C46" s="96">
        <f>IF(C4="No Event",0,SUM(C3-SUM(C4+C9+C12),""))</f>
        <v>0</v>
      </c>
      <c r="D46" s="96">
        <f>IF(D4="No Event",0,SUM(D3-SUM(D4+D9+D12),""))</f>
        <v>0</v>
      </c>
      <c r="E46" s="96">
        <f t="shared" ref="E46:AJ46" si="180">IF(E4="No Event",0,SUM(E3-SUM(E4+E9+E12)))</f>
        <v>0</v>
      </c>
      <c r="F46" s="96">
        <f t="shared" si="180"/>
        <v>0</v>
      </c>
      <c r="G46" s="96">
        <f t="shared" si="180"/>
        <v>0</v>
      </c>
      <c r="H46" s="96">
        <f t="shared" si="180"/>
        <v>0</v>
      </c>
      <c r="I46" s="96">
        <f t="shared" si="180"/>
        <v>0</v>
      </c>
      <c r="J46" s="96">
        <f t="shared" si="180"/>
        <v>0</v>
      </c>
      <c r="K46" s="96">
        <f t="shared" si="180"/>
        <v>0</v>
      </c>
      <c r="L46" s="96">
        <f t="shared" si="180"/>
        <v>0</v>
      </c>
      <c r="M46" s="96">
        <f t="shared" si="180"/>
        <v>0</v>
      </c>
      <c r="N46" s="96">
        <f t="shared" si="180"/>
        <v>0</v>
      </c>
      <c r="O46" s="96">
        <f t="shared" si="180"/>
        <v>0</v>
      </c>
      <c r="P46" s="96">
        <f t="shared" si="180"/>
        <v>0</v>
      </c>
      <c r="Q46" s="96">
        <f t="shared" si="180"/>
        <v>0</v>
      </c>
      <c r="R46" s="96">
        <f t="shared" si="180"/>
        <v>0</v>
      </c>
      <c r="S46" s="96">
        <f t="shared" si="180"/>
        <v>0</v>
      </c>
      <c r="T46" s="96">
        <f t="shared" si="180"/>
        <v>0</v>
      </c>
      <c r="U46" s="96">
        <f t="shared" si="180"/>
        <v>0</v>
      </c>
      <c r="V46" s="96">
        <f t="shared" si="180"/>
        <v>0</v>
      </c>
      <c r="W46" s="96">
        <f t="shared" si="180"/>
        <v>0</v>
      </c>
      <c r="X46" s="96">
        <f t="shared" si="180"/>
        <v>0</v>
      </c>
      <c r="Y46" s="96">
        <f t="shared" si="180"/>
        <v>0</v>
      </c>
      <c r="Z46" s="96">
        <f t="shared" si="180"/>
        <v>0</v>
      </c>
      <c r="AA46" s="96">
        <f t="shared" si="180"/>
        <v>0</v>
      </c>
      <c r="AB46" s="96">
        <f t="shared" si="180"/>
        <v>0</v>
      </c>
      <c r="AC46" s="96">
        <f t="shared" si="180"/>
        <v>0</v>
      </c>
      <c r="AD46" s="96">
        <f t="shared" si="180"/>
        <v>0</v>
      </c>
      <c r="AE46" s="96">
        <f t="shared" si="180"/>
        <v>0</v>
      </c>
      <c r="AF46" s="96">
        <f t="shared" si="180"/>
        <v>0</v>
      </c>
      <c r="AG46" s="96">
        <f t="shared" si="180"/>
        <v>0</v>
      </c>
      <c r="AH46" s="96">
        <f t="shared" si="180"/>
        <v>0</v>
      </c>
      <c r="AI46" s="96">
        <f t="shared" si="180"/>
        <v>0</v>
      </c>
      <c r="AJ46" s="96">
        <f t="shared" si="180"/>
        <v>0</v>
      </c>
      <c r="AK46" s="96">
        <f t="shared" ref="AK46:BM46" si="181">IF(AK4="No Event",0,SUM(AK3-SUM(AK4+AK9+AK12)))</f>
        <v>0</v>
      </c>
      <c r="AL46" s="96">
        <f t="shared" si="181"/>
        <v>0</v>
      </c>
      <c r="AM46" s="96">
        <f t="shared" si="181"/>
        <v>0</v>
      </c>
      <c r="AN46" s="96">
        <f t="shared" si="181"/>
        <v>0</v>
      </c>
      <c r="AO46" s="96">
        <f t="shared" si="181"/>
        <v>0</v>
      </c>
      <c r="AP46" s="96">
        <f t="shared" si="181"/>
        <v>0</v>
      </c>
      <c r="AQ46" s="96">
        <f t="shared" si="181"/>
        <v>0</v>
      </c>
      <c r="AR46" s="96">
        <f t="shared" si="181"/>
        <v>0</v>
      </c>
      <c r="AS46" s="96">
        <f t="shared" si="181"/>
        <v>0</v>
      </c>
      <c r="AT46" s="96">
        <f t="shared" si="181"/>
        <v>0</v>
      </c>
      <c r="AU46" s="96">
        <f t="shared" si="181"/>
        <v>0</v>
      </c>
      <c r="AV46" s="96">
        <f t="shared" si="181"/>
        <v>0</v>
      </c>
      <c r="AW46" s="96">
        <f t="shared" si="181"/>
        <v>0</v>
      </c>
      <c r="AX46" s="96">
        <f t="shared" si="181"/>
        <v>0</v>
      </c>
      <c r="AY46" s="96">
        <f t="shared" si="181"/>
        <v>0</v>
      </c>
      <c r="AZ46" s="96">
        <f t="shared" si="181"/>
        <v>0</v>
      </c>
      <c r="BA46" s="96">
        <f t="shared" si="181"/>
        <v>0</v>
      </c>
      <c r="BB46" s="96">
        <f t="shared" si="181"/>
        <v>0</v>
      </c>
      <c r="BC46" s="96">
        <f t="shared" si="181"/>
        <v>0</v>
      </c>
      <c r="BD46" s="96">
        <f t="shared" si="181"/>
        <v>0</v>
      </c>
      <c r="BE46" s="96">
        <f t="shared" si="181"/>
        <v>0</v>
      </c>
      <c r="BF46" s="96">
        <f t="shared" si="181"/>
        <v>0</v>
      </c>
      <c r="BG46" s="96">
        <f t="shared" si="181"/>
        <v>0</v>
      </c>
      <c r="BH46" s="96">
        <f t="shared" si="181"/>
        <v>0</v>
      </c>
      <c r="BI46" s="96">
        <f t="shared" si="181"/>
        <v>0</v>
      </c>
      <c r="BJ46" s="96">
        <f t="shared" si="181"/>
        <v>0</v>
      </c>
      <c r="BK46" s="96">
        <f t="shared" si="181"/>
        <v>0</v>
      </c>
      <c r="BL46" s="96">
        <f t="shared" si="181"/>
        <v>0</v>
      </c>
      <c r="BM46" s="96">
        <f t="shared" si="181"/>
        <v>0</v>
      </c>
    </row>
    <row r="47" spans="1:65" s="97" customFormat="1" ht="14">
      <c r="A47" s="94"/>
      <c r="B47" s="95" t="s">
        <v>70</v>
      </c>
      <c r="C47" s="96">
        <f>SUM(C15-SUM(C16+C24+C25))</f>
        <v>0</v>
      </c>
      <c r="D47" s="96">
        <f>SUM(D15-SUM(SUM(D7:D8)+SUM(D17:D24)))</f>
        <v>33</v>
      </c>
      <c r="E47" s="96">
        <f t="shared" ref="E47:AJ47" si="182">SUM(E15-SUM(SUM(E17:E22)+E24+E25))</f>
        <v>0</v>
      </c>
      <c r="F47" s="96">
        <f t="shared" si="182"/>
        <v>0</v>
      </c>
      <c r="G47" s="96">
        <f t="shared" si="182"/>
        <v>0</v>
      </c>
      <c r="H47" s="96">
        <f t="shared" si="182"/>
        <v>0</v>
      </c>
      <c r="I47" s="96">
        <f t="shared" si="182"/>
        <v>0</v>
      </c>
      <c r="J47" s="96">
        <f t="shared" si="182"/>
        <v>0</v>
      </c>
      <c r="K47" s="96">
        <f t="shared" si="182"/>
        <v>0</v>
      </c>
      <c r="L47" s="96">
        <f t="shared" si="182"/>
        <v>0</v>
      </c>
      <c r="M47" s="96">
        <f t="shared" si="182"/>
        <v>0</v>
      </c>
      <c r="N47" s="96">
        <f t="shared" si="182"/>
        <v>0</v>
      </c>
      <c r="O47" s="96">
        <f t="shared" si="182"/>
        <v>0</v>
      </c>
      <c r="P47" s="96">
        <f t="shared" si="182"/>
        <v>0</v>
      </c>
      <c r="Q47" s="96">
        <f t="shared" si="182"/>
        <v>0</v>
      </c>
      <c r="R47" s="96">
        <f t="shared" si="182"/>
        <v>0</v>
      </c>
      <c r="S47" s="96">
        <f t="shared" si="182"/>
        <v>0</v>
      </c>
      <c r="T47" s="96">
        <f t="shared" si="182"/>
        <v>0</v>
      </c>
      <c r="U47" s="96">
        <f t="shared" si="182"/>
        <v>0</v>
      </c>
      <c r="V47" s="96">
        <f t="shared" si="182"/>
        <v>0</v>
      </c>
      <c r="W47" s="96">
        <f t="shared" si="182"/>
        <v>0</v>
      </c>
      <c r="X47" s="96">
        <f t="shared" si="182"/>
        <v>0</v>
      </c>
      <c r="Y47" s="96">
        <f t="shared" si="182"/>
        <v>0</v>
      </c>
      <c r="Z47" s="96">
        <f t="shared" si="182"/>
        <v>0</v>
      </c>
      <c r="AA47" s="96">
        <f t="shared" si="182"/>
        <v>0</v>
      </c>
      <c r="AB47" s="96">
        <f t="shared" si="182"/>
        <v>0</v>
      </c>
      <c r="AC47" s="96">
        <f t="shared" si="182"/>
        <v>0</v>
      </c>
      <c r="AD47" s="96">
        <f t="shared" si="182"/>
        <v>0</v>
      </c>
      <c r="AE47" s="96">
        <f t="shared" si="182"/>
        <v>0</v>
      </c>
      <c r="AF47" s="96">
        <f t="shared" si="182"/>
        <v>0</v>
      </c>
      <c r="AG47" s="96">
        <f t="shared" si="182"/>
        <v>0</v>
      </c>
      <c r="AH47" s="96">
        <f t="shared" si="182"/>
        <v>0</v>
      </c>
      <c r="AI47" s="96">
        <f t="shared" si="182"/>
        <v>0</v>
      </c>
      <c r="AJ47" s="96">
        <f t="shared" si="182"/>
        <v>0</v>
      </c>
      <c r="AK47" s="96">
        <f t="shared" ref="AK47:BM47" si="183">SUM(AK15-SUM(SUM(AK17:AK22)+AK24+AK25))</f>
        <v>0</v>
      </c>
      <c r="AL47" s="96">
        <f t="shared" si="183"/>
        <v>0</v>
      </c>
      <c r="AM47" s="96">
        <f t="shared" si="183"/>
        <v>0</v>
      </c>
      <c r="AN47" s="96">
        <f t="shared" si="183"/>
        <v>0</v>
      </c>
      <c r="AO47" s="96">
        <f t="shared" si="183"/>
        <v>0</v>
      </c>
      <c r="AP47" s="96">
        <f t="shared" si="183"/>
        <v>0</v>
      </c>
      <c r="AQ47" s="96">
        <f t="shared" si="183"/>
        <v>0</v>
      </c>
      <c r="AR47" s="96">
        <f t="shared" si="183"/>
        <v>0</v>
      </c>
      <c r="AS47" s="96">
        <f t="shared" si="183"/>
        <v>0</v>
      </c>
      <c r="AT47" s="96">
        <f t="shared" si="183"/>
        <v>0</v>
      </c>
      <c r="AU47" s="96">
        <f t="shared" si="183"/>
        <v>0</v>
      </c>
      <c r="AV47" s="96">
        <f t="shared" si="183"/>
        <v>0</v>
      </c>
      <c r="AW47" s="96">
        <f t="shared" si="183"/>
        <v>0</v>
      </c>
      <c r="AX47" s="96">
        <f t="shared" si="183"/>
        <v>0</v>
      </c>
      <c r="AY47" s="96">
        <f t="shared" si="183"/>
        <v>0</v>
      </c>
      <c r="AZ47" s="96">
        <f t="shared" si="183"/>
        <v>0</v>
      </c>
      <c r="BA47" s="96">
        <f t="shared" si="183"/>
        <v>0</v>
      </c>
      <c r="BB47" s="96">
        <f t="shared" si="183"/>
        <v>0</v>
      </c>
      <c r="BC47" s="96">
        <f t="shared" si="183"/>
        <v>0</v>
      </c>
      <c r="BD47" s="96">
        <f t="shared" si="183"/>
        <v>0</v>
      </c>
      <c r="BE47" s="96">
        <f t="shared" si="183"/>
        <v>0</v>
      </c>
      <c r="BF47" s="96">
        <f t="shared" si="183"/>
        <v>0</v>
      </c>
      <c r="BG47" s="96">
        <f t="shared" si="183"/>
        <v>0</v>
      </c>
      <c r="BH47" s="96">
        <f t="shared" si="183"/>
        <v>0</v>
      </c>
      <c r="BI47" s="96">
        <f t="shared" si="183"/>
        <v>0</v>
      </c>
      <c r="BJ47" s="96">
        <f t="shared" si="183"/>
        <v>0</v>
      </c>
      <c r="BK47" s="96">
        <f t="shared" si="183"/>
        <v>0</v>
      </c>
      <c r="BL47" s="96">
        <f t="shared" si="183"/>
        <v>0</v>
      </c>
      <c r="BM47" s="96">
        <f t="shared" si="183"/>
        <v>0</v>
      </c>
    </row>
    <row r="48" spans="1:65" s="97" customFormat="1" ht="14">
      <c r="A48" s="94"/>
      <c r="B48" s="95" t="s">
        <v>71</v>
      </c>
      <c r="C48" s="96">
        <f>SUM(C28-SUM(C9:C11)-SUM(C29:C29))</f>
        <v>4</v>
      </c>
      <c r="D48" s="96">
        <f>SUM(D28-SUM(D10:D11)-SUM(D29:D29))</f>
        <v>6</v>
      </c>
      <c r="E48" s="96">
        <f>SUM(E28-SUM(E10:E11)-SUM(E29:E29))</f>
        <v>8</v>
      </c>
      <c r="F48" s="96">
        <f>SUM(F28-SUM(F10:F11)-SUM(F29:F29))</f>
        <v>10</v>
      </c>
      <c r="G48" s="96">
        <f>SUM(G28-SUM(G10:G11)-SUM(G29:G29))</f>
        <v>12</v>
      </c>
      <c r="H48" s="96">
        <f>SUM(H28-SUM(H10:H11)-SUM(H29:H29))</f>
        <v>14</v>
      </c>
      <c r="I48" s="96">
        <f t="shared" ref="I48:AN48" si="184">SUM(I28-SUM(I40)-SUM(I29)-SUM(I9))</f>
        <v>16</v>
      </c>
      <c r="J48" s="96">
        <f t="shared" si="184"/>
        <v>18</v>
      </c>
      <c r="K48" s="96">
        <f t="shared" si="184"/>
        <v>20</v>
      </c>
      <c r="L48" s="96">
        <f t="shared" si="184"/>
        <v>22</v>
      </c>
      <c r="M48" s="96">
        <f t="shared" si="184"/>
        <v>24</v>
      </c>
      <c r="N48" s="96">
        <f t="shared" si="184"/>
        <v>26</v>
      </c>
      <c r="O48" s="96">
        <f t="shared" si="184"/>
        <v>28</v>
      </c>
      <c r="P48" s="96">
        <f t="shared" si="184"/>
        <v>30</v>
      </c>
      <c r="Q48" s="96">
        <f t="shared" si="184"/>
        <v>0</v>
      </c>
      <c r="R48" s="96">
        <f t="shared" si="184"/>
        <v>0</v>
      </c>
      <c r="S48" s="96">
        <f t="shared" si="184"/>
        <v>0</v>
      </c>
      <c r="T48" s="96">
        <f t="shared" si="184"/>
        <v>0</v>
      </c>
      <c r="U48" s="96">
        <f t="shared" si="184"/>
        <v>0</v>
      </c>
      <c r="V48" s="96">
        <f t="shared" si="184"/>
        <v>0</v>
      </c>
      <c r="W48" s="96">
        <f t="shared" si="184"/>
        <v>0</v>
      </c>
      <c r="X48" s="96">
        <f t="shared" si="184"/>
        <v>0</v>
      </c>
      <c r="Y48" s="96">
        <f t="shared" si="184"/>
        <v>0</v>
      </c>
      <c r="Z48" s="96">
        <f t="shared" si="184"/>
        <v>0</v>
      </c>
      <c r="AA48" s="96">
        <f t="shared" si="184"/>
        <v>0</v>
      </c>
      <c r="AB48" s="96">
        <f t="shared" si="184"/>
        <v>0</v>
      </c>
      <c r="AC48" s="96">
        <f t="shared" si="184"/>
        <v>0</v>
      </c>
      <c r="AD48" s="96">
        <f t="shared" si="184"/>
        <v>0</v>
      </c>
      <c r="AE48" s="96">
        <f t="shared" si="184"/>
        <v>0</v>
      </c>
      <c r="AF48" s="96">
        <f t="shared" si="184"/>
        <v>0</v>
      </c>
      <c r="AG48" s="96">
        <f t="shared" si="184"/>
        <v>0</v>
      </c>
      <c r="AH48" s="96">
        <f t="shared" si="184"/>
        <v>0</v>
      </c>
      <c r="AI48" s="96">
        <f t="shared" si="184"/>
        <v>0</v>
      </c>
      <c r="AJ48" s="96">
        <f t="shared" si="184"/>
        <v>0</v>
      </c>
      <c r="AK48" s="96">
        <f t="shared" si="184"/>
        <v>0</v>
      </c>
      <c r="AL48" s="96">
        <f t="shared" si="184"/>
        <v>0</v>
      </c>
      <c r="AM48" s="96">
        <f t="shared" si="184"/>
        <v>0</v>
      </c>
      <c r="AN48" s="96">
        <f t="shared" si="184"/>
        <v>0</v>
      </c>
      <c r="AO48" s="96">
        <f t="shared" ref="AO48:BM48" si="185">SUM(AO28-SUM(AO40)-SUM(AO29)-SUM(AO9))</f>
        <v>0</v>
      </c>
      <c r="AP48" s="96">
        <f t="shared" si="185"/>
        <v>0</v>
      </c>
      <c r="AQ48" s="96">
        <f t="shared" si="185"/>
        <v>0</v>
      </c>
      <c r="AR48" s="96">
        <f t="shared" si="185"/>
        <v>0</v>
      </c>
      <c r="AS48" s="96">
        <f t="shared" si="185"/>
        <v>0</v>
      </c>
      <c r="AT48" s="96">
        <f t="shared" si="185"/>
        <v>0</v>
      </c>
      <c r="AU48" s="96">
        <f t="shared" si="185"/>
        <v>0</v>
      </c>
      <c r="AV48" s="96">
        <f t="shared" si="185"/>
        <v>0</v>
      </c>
      <c r="AW48" s="96">
        <f t="shared" si="185"/>
        <v>0</v>
      </c>
      <c r="AX48" s="96">
        <f t="shared" si="185"/>
        <v>0</v>
      </c>
      <c r="AY48" s="96">
        <f t="shared" si="185"/>
        <v>0</v>
      </c>
      <c r="AZ48" s="96">
        <f t="shared" si="185"/>
        <v>0</v>
      </c>
      <c r="BA48" s="96">
        <f t="shared" si="185"/>
        <v>0</v>
      </c>
      <c r="BB48" s="96">
        <f t="shared" si="185"/>
        <v>0</v>
      </c>
      <c r="BC48" s="96">
        <f t="shared" si="185"/>
        <v>0</v>
      </c>
      <c r="BD48" s="96">
        <f t="shared" si="185"/>
        <v>0</v>
      </c>
      <c r="BE48" s="96">
        <f t="shared" si="185"/>
        <v>0</v>
      </c>
      <c r="BF48" s="96">
        <f t="shared" si="185"/>
        <v>0</v>
      </c>
      <c r="BG48" s="96">
        <f t="shared" si="185"/>
        <v>0</v>
      </c>
      <c r="BH48" s="96">
        <f t="shared" si="185"/>
        <v>0</v>
      </c>
      <c r="BI48" s="96">
        <f t="shared" si="185"/>
        <v>0</v>
      </c>
      <c r="BJ48" s="96">
        <f t="shared" si="185"/>
        <v>0</v>
      </c>
      <c r="BK48" s="96">
        <f t="shared" si="185"/>
        <v>0</v>
      </c>
      <c r="BL48" s="96">
        <f t="shared" si="185"/>
        <v>0</v>
      </c>
      <c r="BM48" s="96">
        <f t="shared" si="185"/>
        <v>0</v>
      </c>
    </row>
    <row r="49" spans="1:65" ht="16"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65" s="146" customFormat="1" ht="16">
      <c r="A50" s="624" t="s">
        <v>72</v>
      </c>
      <c r="B50" s="624"/>
      <c r="C50" s="3">
        <f t="shared" ref="C50:AH50" si="186">SUM(C15,C28)</f>
        <v>56</v>
      </c>
      <c r="D50" s="3">
        <f t="shared" si="186"/>
        <v>84</v>
      </c>
      <c r="E50" s="3">
        <f t="shared" si="186"/>
        <v>112</v>
      </c>
      <c r="F50" s="3">
        <f t="shared" si="186"/>
        <v>140</v>
      </c>
      <c r="G50" s="3">
        <f t="shared" si="186"/>
        <v>168</v>
      </c>
      <c r="H50" s="3">
        <f t="shared" si="186"/>
        <v>196</v>
      </c>
      <c r="I50" s="3">
        <f t="shared" si="186"/>
        <v>224</v>
      </c>
      <c r="J50" s="3">
        <f t="shared" si="186"/>
        <v>252</v>
      </c>
      <c r="K50" s="3">
        <f t="shared" si="186"/>
        <v>280</v>
      </c>
      <c r="L50" s="3">
        <f t="shared" si="186"/>
        <v>308</v>
      </c>
      <c r="M50" s="3">
        <f t="shared" si="186"/>
        <v>336</v>
      </c>
      <c r="N50" s="3">
        <f t="shared" si="186"/>
        <v>364</v>
      </c>
      <c r="O50" s="3">
        <f t="shared" si="186"/>
        <v>392</v>
      </c>
      <c r="P50" s="3">
        <f t="shared" si="186"/>
        <v>420</v>
      </c>
      <c r="Q50" s="3">
        <f t="shared" si="186"/>
        <v>448</v>
      </c>
      <c r="R50" s="3">
        <f t="shared" si="186"/>
        <v>476</v>
      </c>
      <c r="S50" s="3">
        <f t="shared" si="186"/>
        <v>504</v>
      </c>
      <c r="T50" s="3">
        <f t="shared" si="186"/>
        <v>532</v>
      </c>
      <c r="U50" s="3">
        <f t="shared" si="186"/>
        <v>560</v>
      </c>
      <c r="V50" s="3">
        <f t="shared" si="186"/>
        <v>588</v>
      </c>
      <c r="W50" s="3">
        <f t="shared" si="186"/>
        <v>616</v>
      </c>
      <c r="X50" s="3">
        <f t="shared" si="186"/>
        <v>644</v>
      </c>
      <c r="Y50" s="3">
        <f t="shared" si="186"/>
        <v>672</v>
      </c>
      <c r="Z50" s="3">
        <f t="shared" si="186"/>
        <v>700</v>
      </c>
      <c r="AA50" s="3">
        <f t="shared" si="186"/>
        <v>728</v>
      </c>
      <c r="AB50" s="3">
        <f t="shared" si="186"/>
        <v>756</v>
      </c>
      <c r="AC50" s="3">
        <f t="shared" si="186"/>
        <v>784</v>
      </c>
      <c r="AD50" s="3">
        <f t="shared" si="186"/>
        <v>812</v>
      </c>
      <c r="AE50" s="3">
        <f t="shared" si="186"/>
        <v>840</v>
      </c>
      <c r="AF50" s="3">
        <f t="shared" si="186"/>
        <v>868</v>
      </c>
      <c r="AG50" s="3">
        <f t="shared" si="186"/>
        <v>896</v>
      </c>
      <c r="AH50" s="3">
        <f t="shared" si="186"/>
        <v>924</v>
      </c>
      <c r="AI50" s="3">
        <f t="shared" ref="AI50:BM50" si="187">SUM(AI15,AI28)</f>
        <v>952</v>
      </c>
      <c r="AJ50" s="3">
        <f t="shared" si="187"/>
        <v>980</v>
      </c>
      <c r="AK50" s="3">
        <f t="shared" si="187"/>
        <v>1008</v>
      </c>
      <c r="AL50" s="3">
        <f t="shared" si="187"/>
        <v>1036</v>
      </c>
      <c r="AM50" s="3">
        <f t="shared" si="187"/>
        <v>1064</v>
      </c>
      <c r="AN50" s="3">
        <f t="shared" si="187"/>
        <v>1092</v>
      </c>
      <c r="AO50" s="3">
        <f t="shared" si="187"/>
        <v>1120</v>
      </c>
      <c r="AP50" s="3">
        <f t="shared" si="187"/>
        <v>1148</v>
      </c>
      <c r="AQ50" s="3">
        <f t="shared" si="187"/>
        <v>1176</v>
      </c>
      <c r="AR50" s="3">
        <f t="shared" si="187"/>
        <v>1204</v>
      </c>
      <c r="AS50" s="3">
        <f t="shared" si="187"/>
        <v>1232</v>
      </c>
      <c r="AT50" s="3">
        <f t="shared" si="187"/>
        <v>1260</v>
      </c>
      <c r="AU50" s="3">
        <f t="shared" si="187"/>
        <v>1288</v>
      </c>
      <c r="AV50" s="3">
        <f t="shared" si="187"/>
        <v>1316</v>
      </c>
      <c r="AW50" s="3">
        <f t="shared" si="187"/>
        <v>1344</v>
      </c>
      <c r="AX50" s="3">
        <f t="shared" si="187"/>
        <v>1372</v>
      </c>
      <c r="AY50" s="3">
        <f t="shared" si="187"/>
        <v>1400</v>
      </c>
      <c r="AZ50" s="3">
        <f t="shared" si="187"/>
        <v>1428</v>
      </c>
      <c r="BA50" s="3">
        <f t="shared" si="187"/>
        <v>1456</v>
      </c>
      <c r="BB50" s="3">
        <f t="shared" si="187"/>
        <v>1484</v>
      </c>
      <c r="BC50" s="3">
        <f t="shared" si="187"/>
        <v>1512</v>
      </c>
      <c r="BD50" s="3">
        <f t="shared" si="187"/>
        <v>1540</v>
      </c>
      <c r="BE50" s="3">
        <f t="shared" si="187"/>
        <v>1568</v>
      </c>
      <c r="BF50" s="3">
        <f t="shared" si="187"/>
        <v>1596</v>
      </c>
      <c r="BG50" s="3">
        <f t="shared" si="187"/>
        <v>1624</v>
      </c>
      <c r="BH50" s="3">
        <f t="shared" si="187"/>
        <v>1652</v>
      </c>
      <c r="BI50" s="3">
        <f t="shared" si="187"/>
        <v>1680</v>
      </c>
      <c r="BJ50" s="3">
        <f t="shared" si="187"/>
        <v>1708</v>
      </c>
      <c r="BK50" s="3">
        <f t="shared" si="187"/>
        <v>1736</v>
      </c>
      <c r="BL50" s="3">
        <f t="shared" si="187"/>
        <v>1764</v>
      </c>
      <c r="BM50" s="3">
        <f t="shared" si="187"/>
        <v>1792</v>
      </c>
    </row>
    <row r="51" spans="1:65" ht="16"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65" ht="16">
      <c r="A52" s="624" t="s">
        <v>73</v>
      </c>
      <c r="B52" s="624"/>
      <c r="C52" s="3">
        <f>SUM(C24,C16)</f>
        <v>22</v>
      </c>
      <c r="D52" s="3">
        <f>SUM(D24,D16)</f>
        <v>33</v>
      </c>
      <c r="E52" s="127">
        <f t="shared" ref="E52:P52" si="188">SUM(E4/2)+E17+E24</f>
        <v>56</v>
      </c>
      <c r="F52" s="127">
        <f t="shared" si="188"/>
        <v>70</v>
      </c>
      <c r="G52" s="127">
        <f t="shared" si="188"/>
        <v>84</v>
      </c>
      <c r="H52" s="127">
        <f t="shared" si="188"/>
        <v>98</v>
      </c>
      <c r="I52" s="127">
        <f t="shared" si="188"/>
        <v>88</v>
      </c>
      <c r="J52" s="127">
        <f t="shared" si="188"/>
        <v>99</v>
      </c>
      <c r="K52" s="127">
        <f t="shared" si="188"/>
        <v>110</v>
      </c>
      <c r="L52" s="127">
        <f t="shared" si="188"/>
        <v>121</v>
      </c>
      <c r="M52" s="127">
        <f t="shared" si="188"/>
        <v>114</v>
      </c>
      <c r="N52" s="127">
        <f t="shared" si="188"/>
        <v>123.5</v>
      </c>
      <c r="O52" s="127">
        <f t="shared" si="188"/>
        <v>133</v>
      </c>
      <c r="P52" s="127">
        <f t="shared" si="188"/>
        <v>142.5</v>
      </c>
      <c r="Q52" s="127">
        <f t="shared" ref="Q52:AV52" si="189">SUM(Q4/4)+Q17+Q24</f>
        <v>96</v>
      </c>
      <c r="R52" s="127">
        <f t="shared" si="189"/>
        <v>102</v>
      </c>
      <c r="S52" s="127">
        <f t="shared" si="189"/>
        <v>108</v>
      </c>
      <c r="T52" s="127">
        <f t="shared" si="189"/>
        <v>114</v>
      </c>
      <c r="U52" s="127">
        <f t="shared" si="189"/>
        <v>120</v>
      </c>
      <c r="V52" s="127">
        <f t="shared" si="189"/>
        <v>126</v>
      </c>
      <c r="W52" s="127">
        <f t="shared" si="189"/>
        <v>132</v>
      </c>
      <c r="X52" s="127">
        <f t="shared" si="189"/>
        <v>138</v>
      </c>
      <c r="Y52" s="127">
        <f t="shared" si="189"/>
        <v>144</v>
      </c>
      <c r="Z52" s="127">
        <f t="shared" si="189"/>
        <v>150</v>
      </c>
      <c r="AA52" s="127">
        <f t="shared" si="189"/>
        <v>156</v>
      </c>
      <c r="AB52" s="127">
        <f t="shared" si="189"/>
        <v>162</v>
      </c>
      <c r="AC52" s="127">
        <f t="shared" si="189"/>
        <v>147</v>
      </c>
      <c r="AD52" s="127">
        <f t="shared" si="189"/>
        <v>152.25</v>
      </c>
      <c r="AE52" s="127">
        <f t="shared" si="189"/>
        <v>157.5</v>
      </c>
      <c r="AF52" s="127">
        <f t="shared" si="189"/>
        <v>162.75</v>
      </c>
      <c r="AG52" s="127">
        <f t="shared" si="189"/>
        <v>168</v>
      </c>
      <c r="AH52" s="127">
        <f t="shared" si="189"/>
        <v>173.25</v>
      </c>
      <c r="AI52" s="127">
        <f t="shared" si="189"/>
        <v>178.5</v>
      </c>
      <c r="AJ52" s="127">
        <f t="shared" si="189"/>
        <v>183.75</v>
      </c>
      <c r="AK52" s="127">
        <f t="shared" si="189"/>
        <v>189</v>
      </c>
      <c r="AL52" s="127">
        <f t="shared" si="189"/>
        <v>194.25</v>
      </c>
      <c r="AM52" s="127">
        <f t="shared" si="189"/>
        <v>199.5</v>
      </c>
      <c r="AN52" s="127">
        <f t="shared" si="189"/>
        <v>204.75</v>
      </c>
      <c r="AO52" s="127">
        <f t="shared" si="189"/>
        <v>210</v>
      </c>
      <c r="AP52" s="127">
        <f t="shared" si="189"/>
        <v>215.25</v>
      </c>
      <c r="AQ52" s="127">
        <f t="shared" si="189"/>
        <v>220.5</v>
      </c>
      <c r="AR52" s="127">
        <f t="shared" si="189"/>
        <v>225.75</v>
      </c>
      <c r="AS52" s="127">
        <f t="shared" si="189"/>
        <v>231</v>
      </c>
      <c r="AT52" s="127">
        <f t="shared" si="189"/>
        <v>236.25</v>
      </c>
      <c r="AU52" s="127">
        <f t="shared" si="189"/>
        <v>241.5</v>
      </c>
      <c r="AV52" s="127">
        <f t="shared" si="189"/>
        <v>246.75</v>
      </c>
      <c r="AW52" s="127">
        <f t="shared" ref="AW52:BM52" si="190">SUM(AW4/4)+AW17+AW24</f>
        <v>252</v>
      </c>
      <c r="AX52" s="127">
        <f t="shared" si="190"/>
        <v>257.25</v>
      </c>
      <c r="AY52" s="127">
        <f t="shared" si="190"/>
        <v>262.5</v>
      </c>
      <c r="AZ52" s="127">
        <f t="shared" si="190"/>
        <v>267.75</v>
      </c>
      <c r="BA52" s="127">
        <f t="shared" si="190"/>
        <v>273</v>
      </c>
      <c r="BB52" s="127">
        <f t="shared" si="190"/>
        <v>278.25</v>
      </c>
      <c r="BC52" s="127">
        <f t="shared" si="190"/>
        <v>283.5</v>
      </c>
      <c r="BD52" s="127">
        <f t="shared" si="190"/>
        <v>288.75</v>
      </c>
      <c r="BE52" s="127">
        <f t="shared" si="190"/>
        <v>294</v>
      </c>
      <c r="BF52" s="127">
        <f t="shared" si="190"/>
        <v>299.25</v>
      </c>
      <c r="BG52" s="127">
        <f t="shared" si="190"/>
        <v>304.5</v>
      </c>
      <c r="BH52" s="127">
        <f t="shared" si="190"/>
        <v>309.75</v>
      </c>
      <c r="BI52" s="127">
        <f t="shared" si="190"/>
        <v>315</v>
      </c>
      <c r="BJ52" s="127">
        <f t="shared" si="190"/>
        <v>320.25</v>
      </c>
      <c r="BK52" s="127">
        <f t="shared" si="190"/>
        <v>325.5</v>
      </c>
      <c r="BL52" s="127">
        <f t="shared" si="190"/>
        <v>330.75</v>
      </c>
      <c r="BM52" s="127">
        <f t="shared" si="190"/>
        <v>336</v>
      </c>
    </row>
    <row r="53" spans="1:65" ht="16">
      <c r="A53" s="624" t="s">
        <v>74</v>
      </c>
      <c r="B53" s="624"/>
      <c r="C53" s="127">
        <f t="shared" ref="C53:G53" si="191">C30</f>
        <v>26</v>
      </c>
      <c r="D53" s="127">
        <f t="shared" si="191"/>
        <v>39</v>
      </c>
      <c r="E53" s="127">
        <f t="shared" si="191"/>
        <v>52</v>
      </c>
      <c r="F53" s="127">
        <f t="shared" si="191"/>
        <v>65</v>
      </c>
      <c r="G53" s="127">
        <f t="shared" si="191"/>
        <v>78</v>
      </c>
      <c r="H53" s="127">
        <f>H30</f>
        <v>91</v>
      </c>
      <c r="I53" s="127">
        <f t="shared" ref="I53:AN53" si="192">SUM(I10,I11,I41,I30)</f>
        <v>52</v>
      </c>
      <c r="J53" s="127">
        <f t="shared" si="192"/>
        <v>58.5</v>
      </c>
      <c r="K53" s="127">
        <f t="shared" si="192"/>
        <v>65</v>
      </c>
      <c r="L53" s="127">
        <f t="shared" si="192"/>
        <v>71.5</v>
      </c>
      <c r="M53" s="127">
        <f t="shared" si="192"/>
        <v>78</v>
      </c>
      <c r="N53" s="127">
        <f t="shared" si="192"/>
        <v>84.5</v>
      </c>
      <c r="O53" s="127">
        <f t="shared" si="192"/>
        <v>91</v>
      </c>
      <c r="P53" s="127">
        <f t="shared" si="192"/>
        <v>97.5</v>
      </c>
      <c r="Q53" s="127">
        <f t="shared" si="192"/>
        <v>136</v>
      </c>
      <c r="R53" s="127">
        <f t="shared" si="192"/>
        <v>144.5</v>
      </c>
      <c r="S53" s="127">
        <f t="shared" si="192"/>
        <v>153</v>
      </c>
      <c r="T53" s="127">
        <f t="shared" si="192"/>
        <v>161.5</v>
      </c>
      <c r="U53" s="127">
        <f t="shared" si="192"/>
        <v>150</v>
      </c>
      <c r="V53" s="127">
        <f t="shared" si="192"/>
        <v>157.5</v>
      </c>
      <c r="W53" s="127">
        <f t="shared" si="192"/>
        <v>165</v>
      </c>
      <c r="X53" s="127">
        <f t="shared" si="192"/>
        <v>172.5</v>
      </c>
      <c r="Y53" s="127">
        <f t="shared" si="192"/>
        <v>180</v>
      </c>
      <c r="Z53" s="127">
        <f t="shared" si="192"/>
        <v>187.5</v>
      </c>
      <c r="AA53" s="127">
        <f t="shared" si="192"/>
        <v>195</v>
      </c>
      <c r="AB53" s="127">
        <f t="shared" si="192"/>
        <v>202.5</v>
      </c>
      <c r="AC53" s="127">
        <f t="shared" si="192"/>
        <v>210</v>
      </c>
      <c r="AD53" s="127">
        <f t="shared" si="192"/>
        <v>217.5</v>
      </c>
      <c r="AE53" s="127">
        <f t="shared" si="192"/>
        <v>225</v>
      </c>
      <c r="AF53" s="127">
        <f t="shared" si="192"/>
        <v>232.5</v>
      </c>
      <c r="AG53" s="127">
        <f t="shared" si="192"/>
        <v>240</v>
      </c>
      <c r="AH53" s="127">
        <f t="shared" si="192"/>
        <v>247.5</v>
      </c>
      <c r="AI53" s="127">
        <f t="shared" si="192"/>
        <v>255</v>
      </c>
      <c r="AJ53" s="127">
        <f t="shared" si="192"/>
        <v>262.5</v>
      </c>
      <c r="AK53" s="127">
        <f t="shared" si="192"/>
        <v>270</v>
      </c>
      <c r="AL53" s="127">
        <f t="shared" si="192"/>
        <v>277.5</v>
      </c>
      <c r="AM53" s="127">
        <f t="shared" si="192"/>
        <v>285</v>
      </c>
      <c r="AN53" s="127">
        <f t="shared" si="192"/>
        <v>292.5</v>
      </c>
      <c r="AO53" s="127">
        <f t="shared" ref="AO53:BM53" si="193">SUM(AO10,AO11,AO41,AO30)</f>
        <v>300</v>
      </c>
      <c r="AP53" s="127">
        <f t="shared" si="193"/>
        <v>307.5</v>
      </c>
      <c r="AQ53" s="127">
        <f t="shared" si="193"/>
        <v>315</v>
      </c>
      <c r="AR53" s="127">
        <f t="shared" si="193"/>
        <v>322.5</v>
      </c>
      <c r="AS53" s="127">
        <f t="shared" si="193"/>
        <v>330</v>
      </c>
      <c r="AT53" s="127">
        <f t="shared" si="193"/>
        <v>337.5</v>
      </c>
      <c r="AU53" s="127">
        <f t="shared" si="193"/>
        <v>345</v>
      </c>
      <c r="AV53" s="127">
        <f t="shared" si="193"/>
        <v>352.5</v>
      </c>
      <c r="AW53" s="127">
        <f t="shared" si="193"/>
        <v>360</v>
      </c>
      <c r="AX53" s="127">
        <f t="shared" si="193"/>
        <v>367.5</v>
      </c>
      <c r="AY53" s="127">
        <f t="shared" si="193"/>
        <v>375</v>
      </c>
      <c r="AZ53" s="127">
        <f t="shared" si="193"/>
        <v>382.5</v>
      </c>
      <c r="BA53" s="127">
        <f t="shared" si="193"/>
        <v>390</v>
      </c>
      <c r="BB53" s="127">
        <f t="shared" si="193"/>
        <v>397.5</v>
      </c>
      <c r="BC53" s="127">
        <f t="shared" si="193"/>
        <v>405</v>
      </c>
      <c r="BD53" s="127">
        <f t="shared" si="193"/>
        <v>412.5</v>
      </c>
      <c r="BE53" s="127">
        <f t="shared" si="193"/>
        <v>420</v>
      </c>
      <c r="BF53" s="127">
        <f t="shared" si="193"/>
        <v>427.5</v>
      </c>
      <c r="BG53" s="127">
        <f t="shared" si="193"/>
        <v>435</v>
      </c>
      <c r="BH53" s="127">
        <f t="shared" si="193"/>
        <v>442.5</v>
      </c>
      <c r="BI53" s="127">
        <f t="shared" si="193"/>
        <v>450</v>
      </c>
      <c r="BJ53" s="127">
        <f t="shared" si="193"/>
        <v>457.5</v>
      </c>
      <c r="BK53" s="127">
        <f t="shared" si="193"/>
        <v>465</v>
      </c>
      <c r="BL53" s="127">
        <f t="shared" si="193"/>
        <v>472.5</v>
      </c>
      <c r="BM53" s="127">
        <f t="shared" si="193"/>
        <v>480</v>
      </c>
    </row>
    <row r="54" spans="1:65" ht="16">
      <c r="A54" s="624" t="s">
        <v>75</v>
      </c>
      <c r="B54" s="624"/>
      <c r="C54" s="128">
        <f>SUM(C30,C24,C16)</f>
        <v>48</v>
      </c>
      <c r="D54" s="128">
        <f>SUM(D30,D24,D16)</f>
        <v>72</v>
      </c>
      <c r="E54" s="128">
        <f>SUM(E30,E24,E17)+SUM(E4/2)</f>
        <v>108</v>
      </c>
      <c r="F54" s="128">
        <f>SUM(F30,F24,F17)+SUM(F4/2)</f>
        <v>135</v>
      </c>
      <c r="G54" s="128">
        <f>SUM(G30,G24,G17)+SUM(G4/2)</f>
        <v>162</v>
      </c>
      <c r="H54" s="128">
        <f>SUM(H30,H24,H17)+SUM(H4/2)</f>
        <v>189</v>
      </c>
      <c r="I54" s="128">
        <f t="shared" ref="I54:P54" si="194">SUM(I24,I30,I41,I10,I11,I17)+SUM(I4/2)</f>
        <v>140</v>
      </c>
      <c r="J54" s="128">
        <f t="shared" si="194"/>
        <v>157.5</v>
      </c>
      <c r="K54" s="128">
        <f t="shared" si="194"/>
        <v>175</v>
      </c>
      <c r="L54" s="128">
        <f t="shared" si="194"/>
        <v>192.5</v>
      </c>
      <c r="M54" s="128">
        <f t="shared" si="194"/>
        <v>192</v>
      </c>
      <c r="N54" s="128">
        <f t="shared" si="194"/>
        <v>208</v>
      </c>
      <c r="O54" s="128">
        <f t="shared" si="194"/>
        <v>224</v>
      </c>
      <c r="P54" s="128">
        <f t="shared" si="194"/>
        <v>240</v>
      </c>
      <c r="Q54" s="128">
        <f t="shared" ref="Q54:AV54" si="195">SUM(Q24,Q30,Q41,Q10,Q11,Q17)+SUM(Q4/4)</f>
        <v>232</v>
      </c>
      <c r="R54" s="128">
        <f t="shared" si="195"/>
        <v>246.5</v>
      </c>
      <c r="S54" s="128">
        <f t="shared" si="195"/>
        <v>261</v>
      </c>
      <c r="T54" s="128">
        <f t="shared" si="195"/>
        <v>275.5</v>
      </c>
      <c r="U54" s="128">
        <f t="shared" si="195"/>
        <v>270</v>
      </c>
      <c r="V54" s="128">
        <f t="shared" si="195"/>
        <v>283.5</v>
      </c>
      <c r="W54" s="128">
        <f t="shared" si="195"/>
        <v>297</v>
      </c>
      <c r="X54" s="128">
        <f t="shared" si="195"/>
        <v>310.5</v>
      </c>
      <c r="Y54" s="128">
        <f t="shared" si="195"/>
        <v>324</v>
      </c>
      <c r="Z54" s="128">
        <f t="shared" si="195"/>
        <v>337.5</v>
      </c>
      <c r="AA54" s="128">
        <f t="shared" si="195"/>
        <v>351</v>
      </c>
      <c r="AB54" s="128">
        <f t="shared" si="195"/>
        <v>364.5</v>
      </c>
      <c r="AC54" s="128">
        <f t="shared" si="195"/>
        <v>357</v>
      </c>
      <c r="AD54" s="128">
        <f t="shared" si="195"/>
        <v>369.75</v>
      </c>
      <c r="AE54" s="128">
        <f t="shared" si="195"/>
        <v>382.5</v>
      </c>
      <c r="AF54" s="128">
        <f t="shared" si="195"/>
        <v>395.25</v>
      </c>
      <c r="AG54" s="128">
        <f t="shared" si="195"/>
        <v>408</v>
      </c>
      <c r="AH54" s="128">
        <f t="shared" si="195"/>
        <v>420.75</v>
      </c>
      <c r="AI54" s="128">
        <f t="shared" si="195"/>
        <v>433.5</v>
      </c>
      <c r="AJ54" s="128">
        <f t="shared" si="195"/>
        <v>446.25</v>
      </c>
      <c r="AK54" s="128">
        <f t="shared" si="195"/>
        <v>459</v>
      </c>
      <c r="AL54" s="128">
        <f t="shared" si="195"/>
        <v>471.75</v>
      </c>
      <c r="AM54" s="128">
        <f t="shared" si="195"/>
        <v>484.5</v>
      </c>
      <c r="AN54" s="128">
        <f t="shared" si="195"/>
        <v>497.25</v>
      </c>
      <c r="AO54" s="128">
        <f t="shared" si="195"/>
        <v>510</v>
      </c>
      <c r="AP54" s="128">
        <f t="shared" si="195"/>
        <v>522.75</v>
      </c>
      <c r="AQ54" s="128">
        <f t="shared" si="195"/>
        <v>535.5</v>
      </c>
      <c r="AR54" s="128">
        <f t="shared" si="195"/>
        <v>548.25</v>
      </c>
      <c r="AS54" s="128">
        <f t="shared" si="195"/>
        <v>561</v>
      </c>
      <c r="AT54" s="128">
        <f t="shared" si="195"/>
        <v>573.75</v>
      </c>
      <c r="AU54" s="128">
        <f t="shared" si="195"/>
        <v>586.5</v>
      </c>
      <c r="AV54" s="128">
        <f t="shared" si="195"/>
        <v>599.25</v>
      </c>
      <c r="AW54" s="128">
        <f t="shared" ref="AW54:BM54" si="196">SUM(AW24,AW30,AW41,AW10,AW11,AW17)+SUM(AW4/4)</f>
        <v>612</v>
      </c>
      <c r="AX54" s="128">
        <f t="shared" si="196"/>
        <v>624.75</v>
      </c>
      <c r="AY54" s="128">
        <f t="shared" si="196"/>
        <v>637.5</v>
      </c>
      <c r="AZ54" s="128">
        <f t="shared" si="196"/>
        <v>650.25</v>
      </c>
      <c r="BA54" s="128">
        <f t="shared" si="196"/>
        <v>663</v>
      </c>
      <c r="BB54" s="128">
        <f t="shared" si="196"/>
        <v>675.75</v>
      </c>
      <c r="BC54" s="128">
        <f t="shared" si="196"/>
        <v>688.5</v>
      </c>
      <c r="BD54" s="128">
        <f t="shared" si="196"/>
        <v>701.25</v>
      </c>
      <c r="BE54" s="128">
        <f t="shared" si="196"/>
        <v>714</v>
      </c>
      <c r="BF54" s="128">
        <f t="shared" si="196"/>
        <v>726.75</v>
      </c>
      <c r="BG54" s="128">
        <f t="shared" si="196"/>
        <v>739.5</v>
      </c>
      <c r="BH54" s="128">
        <f t="shared" si="196"/>
        <v>752.25</v>
      </c>
      <c r="BI54" s="128">
        <f t="shared" si="196"/>
        <v>765</v>
      </c>
      <c r="BJ54" s="128">
        <f t="shared" si="196"/>
        <v>777.75</v>
      </c>
      <c r="BK54" s="128">
        <f t="shared" si="196"/>
        <v>790.5</v>
      </c>
      <c r="BL54" s="128">
        <f t="shared" si="196"/>
        <v>803.25</v>
      </c>
      <c r="BM54" s="128">
        <f t="shared" si="196"/>
        <v>816</v>
      </c>
    </row>
    <row r="55" spans="1:65" ht="16"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65" ht="16"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65" ht="16"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65" ht="16"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65" ht="16"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65" ht="16"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65" ht="16"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65" ht="16"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65" ht="16"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65" ht="16"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6:35" ht="16"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6:35" ht="16"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6:35" ht="16"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6:35" ht="16"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6:35" ht="16"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6:35" ht="16"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6:35" ht="16"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6:35" ht="16"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6:35" ht="16"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6:35" ht="16"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6:35" ht="16"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6:35" ht="16"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6:35" ht="16"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6:35" ht="16"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6:35" ht="16"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6:35" ht="16"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6:35" ht="16"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6:35" ht="16"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6:35" ht="16"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6:35" ht="16"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spans="6:35" ht="16"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spans="6:35" ht="16"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6:35" ht="16"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spans="6:35" ht="16"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6:35" ht="16"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spans="6:35" ht="16"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spans="6:35" ht="16"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6:35" ht="16"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spans="6:35" ht="16"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</sheetData>
  <sheetProtection algorithmName="SHA-512" hashValue="CiBjewGCT6SuqV7wqLI795ZE5pBDOPq+18yl4JpKGxLzCWvV7BX5k8o5yDvSR10uE+2Y1MxpF4+RZMrLhhugpQ==" saltValue="o8Z5TjtADK3gx1RnP2HNUw==" spinCount="100000" sheet="1" objects="1" scenarios="1" selectLockedCells="1"/>
  <mergeCells count="14">
    <mergeCell ref="A3:B3"/>
    <mergeCell ref="A50:B50"/>
    <mergeCell ref="A52:B52"/>
    <mergeCell ref="A53:B53"/>
    <mergeCell ref="A54:B54"/>
    <mergeCell ref="A44:B44"/>
    <mergeCell ref="A28:B28"/>
    <mergeCell ref="A17:A19"/>
    <mergeCell ref="A20:A22"/>
    <mergeCell ref="A11:B11"/>
    <mergeCell ref="A23:B23"/>
    <mergeCell ref="A10:B10"/>
    <mergeCell ref="A7:A8"/>
    <mergeCell ref="A15:B15"/>
  </mergeCells>
  <printOptions horizontalCentered="1"/>
  <pageMargins left="0.25" right="0.25" top="0.75" bottom="0.75" header="0.3" footer="0.3"/>
  <pageSetup scale="26" orientation="landscape" r:id="rId1"/>
  <headerFooter>
    <oddHeader>&amp;C&amp;G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E67B-5D01-BC47-B14D-1391F1F43A98}">
  <dimension ref="A1:BM120"/>
  <sheetViews>
    <sheetView showGridLines="0" zoomScaleNormal="100" workbookViewId="0">
      <pane xSplit="2" ySplit="2" topLeftCell="C21" activePane="bottomRight" state="frozen"/>
      <selection pane="topRight" activeCell="C1" sqref="C1"/>
      <selection pane="bottomLeft" activeCell="A4" sqref="A4"/>
      <selection pane="bottomRight" activeCell="K8" sqref="K8"/>
    </sheetView>
  </sheetViews>
  <sheetFormatPr baseColWidth="10" defaultColWidth="8.83203125" defaultRowHeight="16"/>
  <cols>
    <col min="1" max="1" width="21.33203125" style="4" customWidth="1"/>
    <col min="2" max="2" width="8.83203125" style="3" customWidth="1"/>
    <col min="3" max="5" width="8" style="3" customWidth="1"/>
    <col min="6" max="35" width="7.83203125" style="3" customWidth="1"/>
    <col min="36" max="121" width="7.83203125" style="2" customWidth="1"/>
    <col min="122" max="16384" width="8.83203125" style="2"/>
  </cols>
  <sheetData>
    <row r="1" spans="1:65" ht="27" thickBot="1">
      <c r="A1" s="656" t="s">
        <v>76</v>
      </c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6"/>
      <c r="P1" s="656"/>
      <c r="Q1" s="656"/>
      <c r="R1" s="656"/>
      <c r="S1" s="656"/>
      <c r="T1" s="656"/>
      <c r="U1" s="656"/>
      <c r="V1" s="656"/>
      <c r="W1" s="656"/>
      <c r="X1" s="656"/>
      <c r="Y1" s="656"/>
      <c r="Z1" s="656"/>
      <c r="AA1" s="656"/>
      <c r="AB1" s="656"/>
      <c r="AC1" s="656"/>
      <c r="AD1" s="656"/>
      <c r="AE1" s="656"/>
      <c r="AF1" s="656"/>
      <c r="AG1" s="656"/>
      <c r="AH1" s="656"/>
      <c r="AI1" s="656"/>
      <c r="AJ1" s="656"/>
      <c r="AK1" s="656"/>
      <c r="AL1" s="656"/>
      <c r="AM1" s="656"/>
      <c r="AN1" s="656"/>
      <c r="AO1" s="656"/>
      <c r="AP1" s="656"/>
      <c r="AQ1" s="656"/>
      <c r="AR1" s="656"/>
      <c r="AS1" s="656"/>
      <c r="AT1" s="656"/>
      <c r="AU1" s="656"/>
      <c r="AV1" s="656"/>
      <c r="AW1" s="656"/>
      <c r="AX1" s="656"/>
      <c r="AY1" s="656"/>
      <c r="AZ1" s="656"/>
      <c r="BA1" s="656"/>
      <c r="BB1" s="656"/>
      <c r="BC1" s="656"/>
      <c r="BD1" s="656"/>
      <c r="BE1" s="656"/>
      <c r="BF1" s="656"/>
      <c r="BG1" s="656"/>
      <c r="BH1" s="656"/>
      <c r="BI1" s="656"/>
      <c r="BJ1" s="656"/>
      <c r="BK1" s="656"/>
      <c r="BL1" s="656"/>
      <c r="BM1" s="656"/>
    </row>
    <row r="2" spans="1:65" s="14" customFormat="1" ht="21">
      <c r="A2" s="20" t="s">
        <v>37</v>
      </c>
      <c r="B2" s="21">
        <v>14</v>
      </c>
      <c r="C2" s="22">
        <v>2</v>
      </c>
      <c r="D2" s="23">
        <v>3</v>
      </c>
      <c r="E2" s="23">
        <v>4</v>
      </c>
      <c r="F2" s="23">
        <v>5</v>
      </c>
      <c r="G2" s="23">
        <v>6</v>
      </c>
      <c r="H2" s="23">
        <v>7</v>
      </c>
      <c r="I2" s="23">
        <v>8</v>
      </c>
      <c r="J2" s="23">
        <v>9</v>
      </c>
      <c r="K2" s="23">
        <v>10</v>
      </c>
      <c r="L2" s="23">
        <v>11</v>
      </c>
      <c r="M2" s="23">
        <v>12</v>
      </c>
      <c r="N2" s="23">
        <v>13</v>
      </c>
      <c r="O2" s="23">
        <v>14</v>
      </c>
      <c r="P2" s="23">
        <v>15</v>
      </c>
      <c r="Q2" s="24">
        <v>16</v>
      </c>
      <c r="R2" s="24">
        <v>17</v>
      </c>
      <c r="S2" s="24">
        <v>18</v>
      </c>
      <c r="T2" s="24">
        <v>19</v>
      </c>
      <c r="U2" s="24">
        <v>20</v>
      </c>
      <c r="V2" s="24">
        <v>21</v>
      </c>
      <c r="W2" s="24">
        <v>22</v>
      </c>
      <c r="X2" s="24">
        <v>23</v>
      </c>
      <c r="Y2" s="24">
        <v>24</v>
      </c>
      <c r="Z2" s="24">
        <v>25</v>
      </c>
      <c r="AA2" s="24">
        <v>26</v>
      </c>
      <c r="AB2" s="24">
        <v>27</v>
      </c>
      <c r="AC2" s="24">
        <v>28</v>
      </c>
      <c r="AD2" s="24">
        <v>29</v>
      </c>
      <c r="AE2" s="24">
        <v>30</v>
      </c>
      <c r="AF2" s="24">
        <v>31</v>
      </c>
      <c r="AG2" s="24">
        <v>32</v>
      </c>
      <c r="AH2" s="24">
        <v>33</v>
      </c>
      <c r="AI2" s="24">
        <v>34</v>
      </c>
      <c r="AJ2" s="24">
        <v>35</v>
      </c>
      <c r="AK2" s="24">
        <v>36</v>
      </c>
      <c r="AL2" s="24">
        <v>37</v>
      </c>
      <c r="AM2" s="24">
        <v>38</v>
      </c>
      <c r="AN2" s="24">
        <v>39</v>
      </c>
      <c r="AO2" s="24">
        <v>40</v>
      </c>
      <c r="AP2" s="24">
        <v>41</v>
      </c>
      <c r="AQ2" s="24">
        <v>42</v>
      </c>
      <c r="AR2" s="24">
        <v>43</v>
      </c>
      <c r="AS2" s="24">
        <v>44</v>
      </c>
      <c r="AT2" s="24">
        <v>45</v>
      </c>
      <c r="AU2" s="24">
        <v>46</v>
      </c>
      <c r="AV2" s="24">
        <v>47</v>
      </c>
      <c r="AW2" s="24">
        <v>48</v>
      </c>
      <c r="AX2" s="24">
        <v>49</v>
      </c>
      <c r="AY2" s="24">
        <v>50</v>
      </c>
      <c r="AZ2" s="24">
        <v>51</v>
      </c>
      <c r="BA2" s="24">
        <v>52</v>
      </c>
      <c r="BB2" s="24">
        <v>53</v>
      </c>
      <c r="BC2" s="24">
        <v>54</v>
      </c>
      <c r="BD2" s="24">
        <v>55</v>
      </c>
      <c r="BE2" s="24">
        <v>56</v>
      </c>
      <c r="BF2" s="24">
        <v>57</v>
      </c>
      <c r="BG2" s="24">
        <v>58</v>
      </c>
      <c r="BH2" s="24">
        <v>59</v>
      </c>
      <c r="BI2" s="24">
        <v>60</v>
      </c>
      <c r="BJ2" s="24">
        <v>61</v>
      </c>
      <c r="BK2" s="24">
        <v>62</v>
      </c>
      <c r="BL2" s="129">
        <v>63</v>
      </c>
      <c r="BM2" s="25">
        <v>64</v>
      </c>
    </row>
    <row r="3" spans="1:65" s="500" customFormat="1" ht="19" thickBot="1">
      <c r="A3" s="648" t="s">
        <v>38</v>
      </c>
      <c r="B3" s="649"/>
      <c r="C3" s="550">
        <f>SUM(C2*$B2)</f>
        <v>28</v>
      </c>
      <c r="D3" s="551">
        <f>SUM(D2*$B2)</f>
        <v>42</v>
      </c>
      <c r="E3" s="551">
        <f>SUM(E2*$B2)</f>
        <v>56</v>
      </c>
      <c r="F3" s="551">
        <f>SUM(F2*$B2)</f>
        <v>70</v>
      </c>
      <c r="G3" s="551">
        <f t="shared" ref="G3:BM3" si="0">SUM(G2*$B2)</f>
        <v>84</v>
      </c>
      <c r="H3" s="551">
        <f t="shared" si="0"/>
        <v>98</v>
      </c>
      <c r="I3" s="551">
        <f t="shared" si="0"/>
        <v>112</v>
      </c>
      <c r="J3" s="551">
        <f t="shared" si="0"/>
        <v>126</v>
      </c>
      <c r="K3" s="551">
        <f t="shared" si="0"/>
        <v>140</v>
      </c>
      <c r="L3" s="551">
        <f t="shared" si="0"/>
        <v>154</v>
      </c>
      <c r="M3" s="551">
        <f t="shared" si="0"/>
        <v>168</v>
      </c>
      <c r="N3" s="551">
        <f t="shared" si="0"/>
        <v>182</v>
      </c>
      <c r="O3" s="551">
        <f t="shared" si="0"/>
        <v>196</v>
      </c>
      <c r="P3" s="551">
        <f t="shared" si="0"/>
        <v>210</v>
      </c>
      <c r="Q3" s="551">
        <f t="shared" si="0"/>
        <v>224</v>
      </c>
      <c r="R3" s="551">
        <f t="shared" si="0"/>
        <v>238</v>
      </c>
      <c r="S3" s="551">
        <f t="shared" si="0"/>
        <v>252</v>
      </c>
      <c r="T3" s="551">
        <f t="shared" si="0"/>
        <v>266</v>
      </c>
      <c r="U3" s="551">
        <f t="shared" si="0"/>
        <v>280</v>
      </c>
      <c r="V3" s="551">
        <f t="shared" si="0"/>
        <v>294</v>
      </c>
      <c r="W3" s="551">
        <f t="shared" si="0"/>
        <v>308</v>
      </c>
      <c r="X3" s="551">
        <f t="shared" si="0"/>
        <v>322</v>
      </c>
      <c r="Y3" s="551">
        <f t="shared" si="0"/>
        <v>336</v>
      </c>
      <c r="Z3" s="551">
        <f t="shared" si="0"/>
        <v>350</v>
      </c>
      <c r="AA3" s="551">
        <f t="shared" si="0"/>
        <v>364</v>
      </c>
      <c r="AB3" s="551">
        <f t="shared" si="0"/>
        <v>378</v>
      </c>
      <c r="AC3" s="551">
        <f t="shared" si="0"/>
        <v>392</v>
      </c>
      <c r="AD3" s="551">
        <f t="shared" si="0"/>
        <v>406</v>
      </c>
      <c r="AE3" s="551">
        <f t="shared" si="0"/>
        <v>420</v>
      </c>
      <c r="AF3" s="551">
        <f t="shared" si="0"/>
        <v>434</v>
      </c>
      <c r="AG3" s="551">
        <f t="shared" si="0"/>
        <v>448</v>
      </c>
      <c r="AH3" s="551">
        <f t="shared" si="0"/>
        <v>462</v>
      </c>
      <c r="AI3" s="551">
        <f t="shared" si="0"/>
        <v>476</v>
      </c>
      <c r="AJ3" s="551">
        <f t="shared" si="0"/>
        <v>490</v>
      </c>
      <c r="AK3" s="551">
        <f t="shared" si="0"/>
        <v>504</v>
      </c>
      <c r="AL3" s="551">
        <f t="shared" si="0"/>
        <v>518</v>
      </c>
      <c r="AM3" s="551">
        <f t="shared" si="0"/>
        <v>532</v>
      </c>
      <c r="AN3" s="551">
        <f t="shared" si="0"/>
        <v>546</v>
      </c>
      <c r="AO3" s="551">
        <f t="shared" si="0"/>
        <v>560</v>
      </c>
      <c r="AP3" s="551">
        <f t="shared" si="0"/>
        <v>574</v>
      </c>
      <c r="AQ3" s="551">
        <f t="shared" si="0"/>
        <v>588</v>
      </c>
      <c r="AR3" s="551">
        <f t="shared" si="0"/>
        <v>602</v>
      </c>
      <c r="AS3" s="551">
        <f t="shared" si="0"/>
        <v>616</v>
      </c>
      <c r="AT3" s="551">
        <f t="shared" si="0"/>
        <v>630</v>
      </c>
      <c r="AU3" s="551">
        <f t="shared" si="0"/>
        <v>644</v>
      </c>
      <c r="AV3" s="551">
        <f t="shared" si="0"/>
        <v>658</v>
      </c>
      <c r="AW3" s="551">
        <f t="shared" si="0"/>
        <v>672</v>
      </c>
      <c r="AX3" s="551">
        <f t="shared" si="0"/>
        <v>686</v>
      </c>
      <c r="AY3" s="551">
        <f t="shared" si="0"/>
        <v>700</v>
      </c>
      <c r="AZ3" s="551">
        <f t="shared" si="0"/>
        <v>714</v>
      </c>
      <c r="BA3" s="551">
        <f t="shared" si="0"/>
        <v>728</v>
      </c>
      <c r="BB3" s="551">
        <f t="shared" si="0"/>
        <v>742</v>
      </c>
      <c r="BC3" s="551">
        <f t="shared" si="0"/>
        <v>756</v>
      </c>
      <c r="BD3" s="551">
        <f t="shared" si="0"/>
        <v>770</v>
      </c>
      <c r="BE3" s="551">
        <f t="shared" si="0"/>
        <v>784</v>
      </c>
      <c r="BF3" s="551">
        <f t="shared" si="0"/>
        <v>798</v>
      </c>
      <c r="BG3" s="551">
        <f t="shared" si="0"/>
        <v>812</v>
      </c>
      <c r="BH3" s="551">
        <f t="shared" si="0"/>
        <v>826</v>
      </c>
      <c r="BI3" s="551">
        <f t="shared" si="0"/>
        <v>840</v>
      </c>
      <c r="BJ3" s="551">
        <f t="shared" si="0"/>
        <v>854</v>
      </c>
      <c r="BK3" s="551">
        <f t="shared" si="0"/>
        <v>868</v>
      </c>
      <c r="BL3" s="552">
        <f t="shared" si="0"/>
        <v>882</v>
      </c>
      <c r="BM3" s="553">
        <f t="shared" si="0"/>
        <v>896</v>
      </c>
    </row>
    <row r="4" spans="1:65" s="500" customFormat="1" ht="20.25" customHeight="1">
      <c r="A4" s="531" t="s">
        <v>39</v>
      </c>
      <c r="B4" s="532">
        <v>8</v>
      </c>
      <c r="C4" s="355" t="s">
        <v>40</v>
      </c>
      <c r="D4" s="356" t="s">
        <v>40</v>
      </c>
      <c r="E4" s="540">
        <f t="shared" ref="E4:P4" si="1">SUM(E2*$B4)+SUM(E2*$B9)</f>
        <v>48</v>
      </c>
      <c r="F4" s="541">
        <f t="shared" si="1"/>
        <v>60</v>
      </c>
      <c r="G4" s="542">
        <f t="shared" si="1"/>
        <v>72</v>
      </c>
      <c r="H4" s="542">
        <f t="shared" si="1"/>
        <v>84</v>
      </c>
      <c r="I4" s="543">
        <f t="shared" si="1"/>
        <v>96</v>
      </c>
      <c r="J4" s="543">
        <f t="shared" si="1"/>
        <v>108</v>
      </c>
      <c r="K4" s="543">
        <f t="shared" si="1"/>
        <v>120</v>
      </c>
      <c r="L4" s="543">
        <f t="shared" si="1"/>
        <v>132</v>
      </c>
      <c r="M4" s="543">
        <f t="shared" si="1"/>
        <v>144</v>
      </c>
      <c r="N4" s="543">
        <f t="shared" si="1"/>
        <v>156</v>
      </c>
      <c r="O4" s="543">
        <f t="shared" si="1"/>
        <v>168</v>
      </c>
      <c r="P4" s="544">
        <f t="shared" si="1"/>
        <v>180</v>
      </c>
      <c r="Q4" s="545">
        <f t="shared" ref="Q4:AV4" si="2">SUM(Q2*$B4)</f>
        <v>128</v>
      </c>
      <c r="R4" s="546">
        <f t="shared" si="2"/>
        <v>136</v>
      </c>
      <c r="S4" s="546">
        <f t="shared" si="2"/>
        <v>144</v>
      </c>
      <c r="T4" s="546">
        <f t="shared" si="2"/>
        <v>152</v>
      </c>
      <c r="U4" s="547">
        <f t="shared" si="2"/>
        <v>160</v>
      </c>
      <c r="V4" s="547">
        <f t="shared" si="2"/>
        <v>168</v>
      </c>
      <c r="W4" s="547">
        <f t="shared" si="2"/>
        <v>176</v>
      </c>
      <c r="X4" s="547">
        <f t="shared" si="2"/>
        <v>184</v>
      </c>
      <c r="Y4" s="547">
        <f t="shared" si="2"/>
        <v>192</v>
      </c>
      <c r="Z4" s="547">
        <f t="shared" si="2"/>
        <v>200</v>
      </c>
      <c r="AA4" s="547">
        <f t="shared" si="2"/>
        <v>208</v>
      </c>
      <c r="AB4" s="547">
        <f t="shared" si="2"/>
        <v>216</v>
      </c>
      <c r="AC4" s="547">
        <f t="shared" si="2"/>
        <v>224</v>
      </c>
      <c r="AD4" s="547">
        <f t="shared" si="2"/>
        <v>232</v>
      </c>
      <c r="AE4" s="547">
        <f t="shared" si="2"/>
        <v>240</v>
      </c>
      <c r="AF4" s="547">
        <f t="shared" si="2"/>
        <v>248</v>
      </c>
      <c r="AG4" s="547">
        <f t="shared" si="2"/>
        <v>256</v>
      </c>
      <c r="AH4" s="547">
        <f t="shared" si="2"/>
        <v>264</v>
      </c>
      <c r="AI4" s="547">
        <f t="shared" si="2"/>
        <v>272</v>
      </c>
      <c r="AJ4" s="547">
        <f t="shared" si="2"/>
        <v>280</v>
      </c>
      <c r="AK4" s="547">
        <f t="shared" si="2"/>
        <v>288</v>
      </c>
      <c r="AL4" s="547">
        <f t="shared" si="2"/>
        <v>296</v>
      </c>
      <c r="AM4" s="547">
        <f t="shared" si="2"/>
        <v>304</v>
      </c>
      <c r="AN4" s="547">
        <f t="shared" si="2"/>
        <v>312</v>
      </c>
      <c r="AO4" s="547">
        <f t="shared" si="2"/>
        <v>320</v>
      </c>
      <c r="AP4" s="547">
        <f t="shared" si="2"/>
        <v>328</v>
      </c>
      <c r="AQ4" s="547">
        <f t="shared" si="2"/>
        <v>336</v>
      </c>
      <c r="AR4" s="547">
        <f t="shared" si="2"/>
        <v>344</v>
      </c>
      <c r="AS4" s="547">
        <f t="shared" si="2"/>
        <v>352</v>
      </c>
      <c r="AT4" s="547">
        <f t="shared" si="2"/>
        <v>360</v>
      </c>
      <c r="AU4" s="547">
        <f t="shared" si="2"/>
        <v>368</v>
      </c>
      <c r="AV4" s="547">
        <f t="shared" si="2"/>
        <v>376</v>
      </c>
      <c r="AW4" s="547">
        <f t="shared" ref="AW4:BM4" si="3">SUM(AW2*$B4)</f>
        <v>384</v>
      </c>
      <c r="AX4" s="547">
        <f t="shared" si="3"/>
        <v>392</v>
      </c>
      <c r="AY4" s="547">
        <f t="shared" si="3"/>
        <v>400</v>
      </c>
      <c r="AZ4" s="547">
        <f t="shared" si="3"/>
        <v>408</v>
      </c>
      <c r="BA4" s="547">
        <f t="shared" si="3"/>
        <v>416</v>
      </c>
      <c r="BB4" s="547">
        <f t="shared" si="3"/>
        <v>424</v>
      </c>
      <c r="BC4" s="547">
        <f t="shared" si="3"/>
        <v>432</v>
      </c>
      <c r="BD4" s="547">
        <f t="shared" si="3"/>
        <v>440</v>
      </c>
      <c r="BE4" s="547">
        <f t="shared" si="3"/>
        <v>448</v>
      </c>
      <c r="BF4" s="547">
        <f t="shared" si="3"/>
        <v>456</v>
      </c>
      <c r="BG4" s="547">
        <f t="shared" si="3"/>
        <v>464</v>
      </c>
      <c r="BH4" s="547">
        <f t="shared" si="3"/>
        <v>472</v>
      </c>
      <c r="BI4" s="547">
        <f t="shared" si="3"/>
        <v>480</v>
      </c>
      <c r="BJ4" s="547">
        <f t="shared" si="3"/>
        <v>488</v>
      </c>
      <c r="BK4" s="547">
        <f t="shared" si="3"/>
        <v>496</v>
      </c>
      <c r="BL4" s="548">
        <f t="shared" si="3"/>
        <v>504</v>
      </c>
      <c r="BM4" s="549">
        <f t="shared" si="3"/>
        <v>512</v>
      </c>
    </row>
    <row r="5" spans="1:65" s="5" customFormat="1" ht="14.25" customHeight="1">
      <c r="A5" s="212"/>
      <c r="B5" s="424" t="s">
        <v>41</v>
      </c>
      <c r="C5" s="232" t="s">
        <v>40</v>
      </c>
      <c r="D5" s="201" t="s">
        <v>40</v>
      </c>
      <c r="E5" s="428">
        <f t="shared" ref="E5:H5" si="4">E4</f>
        <v>48</v>
      </c>
      <c r="F5" s="429">
        <f t="shared" si="4"/>
        <v>60</v>
      </c>
      <c r="G5" s="429">
        <f t="shared" si="4"/>
        <v>72</v>
      </c>
      <c r="H5" s="429">
        <f t="shared" si="4"/>
        <v>84</v>
      </c>
      <c r="I5" s="429">
        <f>I4</f>
        <v>96</v>
      </c>
      <c r="J5" s="429">
        <f>J4</f>
        <v>108</v>
      </c>
      <c r="K5" s="429">
        <f>K4</f>
        <v>120</v>
      </c>
      <c r="L5" s="429">
        <f>L4</f>
        <v>132</v>
      </c>
      <c r="M5" s="429">
        <f>SUM(M4*0.6666666666)</f>
        <v>95.999999990399999</v>
      </c>
      <c r="N5" s="429">
        <f>SUM(N4*0.6666666666)</f>
        <v>103.9999999896</v>
      </c>
      <c r="O5" s="429">
        <f>SUM(O4*0.6666666666)</f>
        <v>111.9999999888</v>
      </c>
      <c r="P5" s="430">
        <f>SUM(P4*0.6666666666)</f>
        <v>119.999999988</v>
      </c>
      <c r="Q5" s="396">
        <f t="shared" ref="Q5:AJ5" si="5">Q4</f>
        <v>128</v>
      </c>
      <c r="R5" s="397">
        <f t="shared" si="5"/>
        <v>136</v>
      </c>
      <c r="S5" s="397">
        <f t="shared" si="5"/>
        <v>144</v>
      </c>
      <c r="T5" s="397">
        <f t="shared" si="5"/>
        <v>152</v>
      </c>
      <c r="U5" s="397">
        <f t="shared" si="5"/>
        <v>160</v>
      </c>
      <c r="V5" s="397">
        <f t="shared" si="5"/>
        <v>168</v>
      </c>
      <c r="W5" s="397">
        <f t="shared" si="5"/>
        <v>176</v>
      </c>
      <c r="X5" s="397">
        <f t="shared" si="5"/>
        <v>184</v>
      </c>
      <c r="Y5" s="397">
        <f t="shared" si="5"/>
        <v>192</v>
      </c>
      <c r="Z5" s="397">
        <f t="shared" si="5"/>
        <v>200</v>
      </c>
      <c r="AA5" s="397">
        <f t="shared" si="5"/>
        <v>208</v>
      </c>
      <c r="AB5" s="397">
        <f t="shared" si="5"/>
        <v>216</v>
      </c>
      <c r="AC5" s="397">
        <f t="shared" si="5"/>
        <v>224</v>
      </c>
      <c r="AD5" s="397">
        <f t="shared" si="5"/>
        <v>232</v>
      </c>
      <c r="AE5" s="397">
        <f t="shared" si="5"/>
        <v>240</v>
      </c>
      <c r="AF5" s="397">
        <f t="shared" si="5"/>
        <v>248</v>
      </c>
      <c r="AG5" s="397">
        <f t="shared" si="5"/>
        <v>256</v>
      </c>
      <c r="AH5" s="397">
        <f t="shared" si="5"/>
        <v>264</v>
      </c>
      <c r="AI5" s="397">
        <f t="shared" si="5"/>
        <v>272</v>
      </c>
      <c r="AJ5" s="397">
        <f t="shared" si="5"/>
        <v>280</v>
      </c>
      <c r="AK5" s="397">
        <f t="shared" ref="AK5:BM5" si="6">SUM(AK4*0.6666666666)</f>
        <v>191.9999999808</v>
      </c>
      <c r="AL5" s="397">
        <f t="shared" si="6"/>
        <v>197.33333331359998</v>
      </c>
      <c r="AM5" s="397">
        <f t="shared" si="6"/>
        <v>202.66666664639999</v>
      </c>
      <c r="AN5" s="397">
        <f t="shared" si="6"/>
        <v>207.9999999792</v>
      </c>
      <c r="AO5" s="397">
        <f t="shared" si="6"/>
        <v>213.33333331199998</v>
      </c>
      <c r="AP5" s="397">
        <f t="shared" si="6"/>
        <v>218.66666664479999</v>
      </c>
      <c r="AQ5" s="397">
        <f t="shared" si="6"/>
        <v>223.9999999776</v>
      </c>
      <c r="AR5" s="397">
        <f t="shared" si="6"/>
        <v>229.33333331039998</v>
      </c>
      <c r="AS5" s="397">
        <f t="shared" si="6"/>
        <v>234.66666664319999</v>
      </c>
      <c r="AT5" s="397">
        <f t="shared" si="6"/>
        <v>239.999999976</v>
      </c>
      <c r="AU5" s="397">
        <f t="shared" si="6"/>
        <v>245.33333330879998</v>
      </c>
      <c r="AV5" s="397">
        <f t="shared" si="6"/>
        <v>250.66666664159999</v>
      </c>
      <c r="AW5" s="397">
        <f t="shared" si="6"/>
        <v>255.9999999744</v>
      </c>
      <c r="AX5" s="397">
        <f t="shared" si="6"/>
        <v>261.33333330720001</v>
      </c>
      <c r="AY5" s="397">
        <f t="shared" si="6"/>
        <v>266.66666663999996</v>
      </c>
      <c r="AZ5" s="397">
        <f t="shared" si="6"/>
        <v>271.99999997279997</v>
      </c>
      <c r="BA5" s="397">
        <f t="shared" si="6"/>
        <v>277.33333330559998</v>
      </c>
      <c r="BB5" s="397">
        <f t="shared" si="6"/>
        <v>282.66666663839999</v>
      </c>
      <c r="BC5" s="397">
        <f t="shared" si="6"/>
        <v>287.9999999712</v>
      </c>
      <c r="BD5" s="397">
        <f t="shared" si="6"/>
        <v>293.33333330400001</v>
      </c>
      <c r="BE5" s="397">
        <f t="shared" si="6"/>
        <v>298.66666663679996</v>
      </c>
      <c r="BF5" s="397">
        <f t="shared" si="6"/>
        <v>303.99999996959997</v>
      </c>
      <c r="BG5" s="397">
        <f t="shared" si="6"/>
        <v>309.33333330239998</v>
      </c>
      <c r="BH5" s="397">
        <f t="shared" si="6"/>
        <v>314.66666663519999</v>
      </c>
      <c r="BI5" s="397">
        <f t="shared" si="6"/>
        <v>319.999999968</v>
      </c>
      <c r="BJ5" s="397">
        <f t="shared" si="6"/>
        <v>325.33333330080001</v>
      </c>
      <c r="BK5" s="397">
        <f t="shared" si="6"/>
        <v>330.66666663359996</v>
      </c>
      <c r="BL5" s="397">
        <f t="shared" si="6"/>
        <v>335.99999996639997</v>
      </c>
      <c r="BM5" s="431">
        <f t="shared" si="6"/>
        <v>341.33333329919998</v>
      </c>
    </row>
    <row r="6" spans="1:65" s="5" customFormat="1" ht="14.25" customHeight="1">
      <c r="A6" s="212"/>
      <c r="B6" s="425" t="s">
        <v>42</v>
      </c>
      <c r="C6" s="369" t="s">
        <v>40</v>
      </c>
      <c r="D6" s="370" t="s">
        <v>40</v>
      </c>
      <c r="E6" s="375"/>
      <c r="F6" s="376"/>
      <c r="G6" s="376"/>
      <c r="H6" s="376"/>
      <c r="I6" s="376"/>
      <c r="J6" s="376"/>
      <c r="K6" s="376"/>
      <c r="L6" s="376"/>
      <c r="M6" s="371">
        <f t="shared" ref="M6:O6" si="7">SUM(M4*0.33333333333)</f>
        <v>47.99999999952</v>
      </c>
      <c r="N6" s="371">
        <f t="shared" si="7"/>
        <v>51.999999999479996</v>
      </c>
      <c r="O6" s="371">
        <f t="shared" si="7"/>
        <v>55.99999999944</v>
      </c>
      <c r="P6" s="372">
        <f>SUM(P4*0.33333333333)</f>
        <v>59.999999999399996</v>
      </c>
      <c r="Q6" s="339"/>
      <c r="R6" s="285"/>
      <c r="S6" s="285"/>
      <c r="T6" s="285"/>
      <c r="U6" s="285"/>
      <c r="V6" s="285"/>
      <c r="W6" s="285"/>
      <c r="X6" s="285"/>
      <c r="Y6" s="285"/>
      <c r="Z6" s="285"/>
      <c r="AA6" s="285"/>
      <c r="AB6" s="285"/>
      <c r="AC6" s="285"/>
      <c r="AD6" s="285"/>
      <c r="AE6" s="285"/>
      <c r="AF6" s="285"/>
      <c r="AG6" s="285"/>
      <c r="AH6" s="285"/>
      <c r="AI6" s="285"/>
      <c r="AJ6" s="285"/>
      <c r="AK6" s="573">
        <f t="shared" ref="AK6:BM6" si="8">SUM(AK4*0.33333333333)</f>
        <v>95.99999999904</v>
      </c>
      <c r="AL6" s="573">
        <f t="shared" si="8"/>
        <v>98.666666665679998</v>
      </c>
      <c r="AM6" s="573">
        <f t="shared" si="8"/>
        <v>101.33333333232</v>
      </c>
      <c r="AN6" s="573">
        <f t="shared" si="8"/>
        <v>103.99999999895999</v>
      </c>
      <c r="AO6" s="373">
        <f t="shared" si="8"/>
        <v>106.66666666559999</v>
      </c>
      <c r="AP6" s="373">
        <f t="shared" si="8"/>
        <v>109.33333333223999</v>
      </c>
      <c r="AQ6" s="373">
        <f t="shared" si="8"/>
        <v>111.99999999888</v>
      </c>
      <c r="AR6" s="373">
        <f t="shared" si="8"/>
        <v>114.66666666552</v>
      </c>
      <c r="AS6" s="373">
        <f t="shared" si="8"/>
        <v>117.33333333216</v>
      </c>
      <c r="AT6" s="373">
        <f t="shared" si="8"/>
        <v>119.99999999879999</v>
      </c>
      <c r="AU6" s="373">
        <f t="shared" si="8"/>
        <v>122.66666666543999</v>
      </c>
      <c r="AV6" s="373">
        <f t="shared" si="8"/>
        <v>125.33333333207999</v>
      </c>
      <c r="AW6" s="373">
        <f t="shared" si="8"/>
        <v>127.99999999872</v>
      </c>
      <c r="AX6" s="373">
        <f t="shared" si="8"/>
        <v>130.66666666536</v>
      </c>
      <c r="AY6" s="373">
        <f t="shared" si="8"/>
        <v>133.333333332</v>
      </c>
      <c r="AZ6" s="373">
        <f t="shared" si="8"/>
        <v>135.99999999863999</v>
      </c>
      <c r="BA6" s="373">
        <f t="shared" si="8"/>
        <v>138.66666666527999</v>
      </c>
      <c r="BB6" s="373">
        <f t="shared" si="8"/>
        <v>141.33333333191999</v>
      </c>
      <c r="BC6" s="373">
        <f t="shared" si="8"/>
        <v>143.99999999855999</v>
      </c>
      <c r="BD6" s="373">
        <f t="shared" si="8"/>
        <v>146.66666666519998</v>
      </c>
      <c r="BE6" s="373">
        <f t="shared" si="8"/>
        <v>149.33333333183998</v>
      </c>
      <c r="BF6" s="373">
        <f t="shared" si="8"/>
        <v>151.99999999847998</v>
      </c>
      <c r="BG6" s="373">
        <f t="shared" si="8"/>
        <v>154.66666666512</v>
      </c>
      <c r="BH6" s="373">
        <f t="shared" si="8"/>
        <v>157.33333333176</v>
      </c>
      <c r="BI6" s="373">
        <f t="shared" si="8"/>
        <v>159.9999999984</v>
      </c>
      <c r="BJ6" s="373">
        <f t="shared" si="8"/>
        <v>162.66666666504</v>
      </c>
      <c r="BK6" s="373">
        <f t="shared" si="8"/>
        <v>165.33333333168</v>
      </c>
      <c r="BL6" s="373">
        <f t="shared" si="8"/>
        <v>167.99999999831999</v>
      </c>
      <c r="BM6" s="374">
        <f t="shared" si="8"/>
        <v>170.66666666495999</v>
      </c>
    </row>
    <row r="7" spans="1:65" s="5" customFormat="1" ht="14.25" customHeight="1">
      <c r="A7" s="233"/>
      <c r="B7" s="427" t="s">
        <v>6</v>
      </c>
      <c r="C7" s="200" t="s">
        <v>40</v>
      </c>
      <c r="D7" s="201" t="s">
        <v>40</v>
      </c>
      <c r="E7" s="363">
        <f t="shared" ref="E7:P7" si="9">IF(E8="CART Net",SUM(E5/2),IF(E8="TEAM Net",SUM(E5/4),""))</f>
        <v>24</v>
      </c>
      <c r="F7" s="365">
        <f t="shared" si="9"/>
        <v>30</v>
      </c>
      <c r="G7" s="365">
        <f t="shared" si="9"/>
        <v>36</v>
      </c>
      <c r="H7" s="365">
        <f t="shared" si="9"/>
        <v>42</v>
      </c>
      <c r="I7" s="365">
        <f t="shared" si="9"/>
        <v>48</v>
      </c>
      <c r="J7" s="365">
        <f t="shared" si="9"/>
        <v>54</v>
      </c>
      <c r="K7" s="365">
        <f t="shared" si="9"/>
        <v>60</v>
      </c>
      <c r="L7" s="365">
        <f t="shared" si="9"/>
        <v>66</v>
      </c>
      <c r="M7" s="365">
        <f t="shared" si="9"/>
        <v>47.9999999952</v>
      </c>
      <c r="N7" s="365">
        <f t="shared" si="9"/>
        <v>51.9999999948</v>
      </c>
      <c r="O7" s="365">
        <f t="shared" si="9"/>
        <v>55.9999999944</v>
      </c>
      <c r="P7" s="367">
        <f t="shared" si="9"/>
        <v>59.999999994</v>
      </c>
      <c r="Q7" s="364">
        <f t="shared" ref="Q7:AV7" si="10">IF(Q8="CART Net",SUM(Q5/2),IF(Q8="TEAM Net",SUM(Q5/4),""))</f>
        <v>32</v>
      </c>
      <c r="R7" s="366">
        <f t="shared" si="10"/>
        <v>34</v>
      </c>
      <c r="S7" s="366">
        <f t="shared" si="10"/>
        <v>36</v>
      </c>
      <c r="T7" s="366">
        <f t="shared" si="10"/>
        <v>38</v>
      </c>
      <c r="U7" s="366">
        <f t="shared" si="10"/>
        <v>40</v>
      </c>
      <c r="V7" s="366">
        <f t="shared" si="10"/>
        <v>42</v>
      </c>
      <c r="W7" s="366">
        <f t="shared" si="10"/>
        <v>44</v>
      </c>
      <c r="X7" s="366">
        <f t="shared" si="10"/>
        <v>46</v>
      </c>
      <c r="Y7" s="366">
        <f t="shared" si="10"/>
        <v>48</v>
      </c>
      <c r="Z7" s="366">
        <f t="shared" si="10"/>
        <v>50</v>
      </c>
      <c r="AA7" s="366">
        <f t="shared" si="10"/>
        <v>52</v>
      </c>
      <c r="AB7" s="366">
        <f t="shared" si="10"/>
        <v>54</v>
      </c>
      <c r="AC7" s="366">
        <f t="shared" si="10"/>
        <v>56</v>
      </c>
      <c r="AD7" s="366">
        <f t="shared" si="10"/>
        <v>58</v>
      </c>
      <c r="AE7" s="366">
        <f t="shared" si="10"/>
        <v>60</v>
      </c>
      <c r="AF7" s="366">
        <f t="shared" si="10"/>
        <v>62</v>
      </c>
      <c r="AG7" s="366">
        <f t="shared" si="10"/>
        <v>64</v>
      </c>
      <c r="AH7" s="366">
        <f t="shared" si="10"/>
        <v>66</v>
      </c>
      <c r="AI7" s="366">
        <f t="shared" si="10"/>
        <v>68</v>
      </c>
      <c r="AJ7" s="366">
        <f t="shared" si="10"/>
        <v>70</v>
      </c>
      <c r="AK7" s="366">
        <f t="shared" si="10"/>
        <v>47.9999999952</v>
      </c>
      <c r="AL7" s="366">
        <f t="shared" si="10"/>
        <v>49.333333328399995</v>
      </c>
      <c r="AM7" s="366">
        <f t="shared" si="10"/>
        <v>50.666666661599997</v>
      </c>
      <c r="AN7" s="366">
        <f t="shared" si="10"/>
        <v>51.9999999948</v>
      </c>
      <c r="AO7" s="366">
        <f t="shared" si="10"/>
        <v>53.333333327999995</v>
      </c>
      <c r="AP7" s="366">
        <f t="shared" si="10"/>
        <v>54.666666661199997</v>
      </c>
      <c r="AQ7" s="366">
        <f t="shared" si="10"/>
        <v>55.9999999944</v>
      </c>
      <c r="AR7" s="366">
        <f t="shared" si="10"/>
        <v>57.333333327599995</v>
      </c>
      <c r="AS7" s="366">
        <f t="shared" si="10"/>
        <v>58.666666660799997</v>
      </c>
      <c r="AT7" s="366">
        <f t="shared" si="10"/>
        <v>59.999999994</v>
      </c>
      <c r="AU7" s="366">
        <f t="shared" si="10"/>
        <v>61.333333327199995</v>
      </c>
      <c r="AV7" s="366">
        <f t="shared" si="10"/>
        <v>62.666666660399997</v>
      </c>
      <c r="AW7" s="366">
        <f t="shared" ref="AW7:BM7" si="11">IF(AW8="CART Net",SUM(AW5/2),IF(AW8="TEAM Net",SUM(AW5/4),""))</f>
        <v>63.999999993599999</v>
      </c>
      <c r="AX7" s="366">
        <f t="shared" si="11"/>
        <v>65.333333326800002</v>
      </c>
      <c r="AY7" s="366">
        <f t="shared" si="11"/>
        <v>66.66666665999999</v>
      </c>
      <c r="AZ7" s="366">
        <f t="shared" si="11"/>
        <v>67.999999993199992</v>
      </c>
      <c r="BA7" s="366">
        <f t="shared" si="11"/>
        <v>69.333333326399995</v>
      </c>
      <c r="BB7" s="366">
        <f t="shared" si="11"/>
        <v>70.666666659599997</v>
      </c>
      <c r="BC7" s="366">
        <f t="shared" si="11"/>
        <v>71.999999992799999</v>
      </c>
      <c r="BD7" s="366">
        <f t="shared" si="11"/>
        <v>73.333333326000002</v>
      </c>
      <c r="BE7" s="366">
        <f t="shared" si="11"/>
        <v>74.66666665919999</v>
      </c>
      <c r="BF7" s="366">
        <f t="shared" si="11"/>
        <v>75.999999992399992</v>
      </c>
      <c r="BG7" s="366">
        <f t="shared" si="11"/>
        <v>77.333333325599995</v>
      </c>
      <c r="BH7" s="366">
        <f t="shared" si="11"/>
        <v>78.666666658799997</v>
      </c>
      <c r="BI7" s="366">
        <f t="shared" si="11"/>
        <v>79.999999991999999</v>
      </c>
      <c r="BJ7" s="366">
        <f t="shared" si="11"/>
        <v>81.333333325200002</v>
      </c>
      <c r="BK7" s="366">
        <f t="shared" si="11"/>
        <v>82.66666665839999</v>
      </c>
      <c r="BL7" s="366">
        <f t="shared" si="11"/>
        <v>83.999999991599992</v>
      </c>
      <c r="BM7" s="368">
        <f t="shared" si="11"/>
        <v>85.333333324799995</v>
      </c>
    </row>
    <row r="8" spans="1:65" s="5" customFormat="1" ht="14.25" customHeight="1" thickBot="1">
      <c r="A8" s="234"/>
      <c r="B8" s="426"/>
      <c r="C8" s="202" t="s">
        <v>40</v>
      </c>
      <c r="D8" s="203" t="s">
        <v>40</v>
      </c>
      <c r="E8" s="357" t="s">
        <v>43</v>
      </c>
      <c r="F8" s="358" t="s">
        <v>43</v>
      </c>
      <c r="G8" s="358" t="s">
        <v>43</v>
      </c>
      <c r="H8" s="358" t="s">
        <v>43</v>
      </c>
      <c r="I8" s="358" t="s">
        <v>43</v>
      </c>
      <c r="J8" s="358" t="s">
        <v>43</v>
      </c>
      <c r="K8" s="358" t="s">
        <v>43</v>
      </c>
      <c r="L8" s="358" t="s">
        <v>43</v>
      </c>
      <c r="M8" s="358" t="s">
        <v>43</v>
      </c>
      <c r="N8" s="358" t="s">
        <v>43</v>
      </c>
      <c r="O8" s="358" t="s">
        <v>43</v>
      </c>
      <c r="P8" s="359" t="s">
        <v>43</v>
      </c>
      <c r="Q8" s="360" t="s">
        <v>44</v>
      </c>
      <c r="R8" s="361" t="s">
        <v>44</v>
      </c>
      <c r="S8" s="361" t="s">
        <v>44</v>
      </c>
      <c r="T8" s="361" t="s">
        <v>44</v>
      </c>
      <c r="U8" s="361" t="s">
        <v>44</v>
      </c>
      <c r="V8" s="361" t="s">
        <v>44</v>
      </c>
      <c r="W8" s="361" t="s">
        <v>44</v>
      </c>
      <c r="X8" s="361" t="s">
        <v>44</v>
      </c>
      <c r="Y8" s="361" t="s">
        <v>44</v>
      </c>
      <c r="Z8" s="361" t="s">
        <v>44</v>
      </c>
      <c r="AA8" s="361" t="s">
        <v>44</v>
      </c>
      <c r="AB8" s="361" t="s">
        <v>44</v>
      </c>
      <c r="AC8" s="361" t="s">
        <v>44</v>
      </c>
      <c r="AD8" s="361" t="s">
        <v>44</v>
      </c>
      <c r="AE8" s="361" t="s">
        <v>44</v>
      </c>
      <c r="AF8" s="361" t="s">
        <v>44</v>
      </c>
      <c r="AG8" s="361" t="s">
        <v>44</v>
      </c>
      <c r="AH8" s="361" t="s">
        <v>44</v>
      </c>
      <c r="AI8" s="361" t="s">
        <v>44</v>
      </c>
      <c r="AJ8" s="361" t="s">
        <v>44</v>
      </c>
      <c r="AK8" s="361" t="s">
        <v>44</v>
      </c>
      <c r="AL8" s="361" t="s">
        <v>44</v>
      </c>
      <c r="AM8" s="361" t="s">
        <v>44</v>
      </c>
      <c r="AN8" s="361" t="s">
        <v>44</v>
      </c>
      <c r="AO8" s="361" t="s">
        <v>44</v>
      </c>
      <c r="AP8" s="361" t="s">
        <v>44</v>
      </c>
      <c r="AQ8" s="361" t="s">
        <v>44</v>
      </c>
      <c r="AR8" s="361" t="s">
        <v>44</v>
      </c>
      <c r="AS8" s="361" t="s">
        <v>44</v>
      </c>
      <c r="AT8" s="361" t="s">
        <v>44</v>
      </c>
      <c r="AU8" s="361" t="s">
        <v>44</v>
      </c>
      <c r="AV8" s="361" t="s">
        <v>44</v>
      </c>
      <c r="AW8" s="361" t="s">
        <v>44</v>
      </c>
      <c r="AX8" s="361" t="s">
        <v>44</v>
      </c>
      <c r="AY8" s="361" t="s">
        <v>44</v>
      </c>
      <c r="AZ8" s="361" t="s">
        <v>44</v>
      </c>
      <c r="BA8" s="361" t="s">
        <v>44</v>
      </c>
      <c r="BB8" s="361" t="s">
        <v>44</v>
      </c>
      <c r="BC8" s="361" t="s">
        <v>44</v>
      </c>
      <c r="BD8" s="361" t="s">
        <v>44</v>
      </c>
      <c r="BE8" s="361" t="s">
        <v>44</v>
      </c>
      <c r="BF8" s="361" t="s">
        <v>44</v>
      </c>
      <c r="BG8" s="361" t="s">
        <v>44</v>
      </c>
      <c r="BH8" s="361" t="s">
        <v>44</v>
      </c>
      <c r="BI8" s="361" t="s">
        <v>44</v>
      </c>
      <c r="BJ8" s="361" t="s">
        <v>44</v>
      </c>
      <c r="BK8" s="361" t="s">
        <v>44</v>
      </c>
      <c r="BL8" s="361" t="s">
        <v>44</v>
      </c>
      <c r="BM8" s="362" t="s">
        <v>44</v>
      </c>
    </row>
    <row r="9" spans="1:65" s="500" customFormat="1" ht="20.25" customHeight="1">
      <c r="A9" s="531" t="s">
        <v>45</v>
      </c>
      <c r="B9" s="532">
        <v>4</v>
      </c>
      <c r="C9" s="353" t="s">
        <v>40</v>
      </c>
      <c r="D9" s="354" t="s">
        <v>40</v>
      </c>
      <c r="E9" s="482"/>
      <c r="F9" s="483"/>
      <c r="G9" s="483"/>
      <c r="H9" s="483"/>
      <c r="I9" s="483"/>
      <c r="J9" s="483"/>
      <c r="K9" s="483"/>
      <c r="L9" s="483"/>
      <c r="M9" s="483"/>
      <c r="N9" s="483"/>
      <c r="O9" s="483"/>
      <c r="P9" s="484"/>
      <c r="Q9" s="533">
        <f t="shared" ref="Q9:AN9" si="12">SUM(Q2*$B9)</f>
        <v>64</v>
      </c>
      <c r="R9" s="533">
        <f t="shared" si="12"/>
        <v>68</v>
      </c>
      <c r="S9" s="533">
        <f t="shared" si="12"/>
        <v>72</v>
      </c>
      <c r="T9" s="533">
        <f t="shared" si="12"/>
        <v>76</v>
      </c>
      <c r="U9" s="533">
        <f t="shared" si="12"/>
        <v>80</v>
      </c>
      <c r="V9" s="533">
        <f t="shared" si="12"/>
        <v>84</v>
      </c>
      <c r="W9" s="534">
        <f t="shared" si="12"/>
        <v>88</v>
      </c>
      <c r="X9" s="535">
        <f t="shared" si="12"/>
        <v>92</v>
      </c>
      <c r="Y9" s="536">
        <f t="shared" si="12"/>
        <v>96</v>
      </c>
      <c r="Z9" s="536">
        <f t="shared" si="12"/>
        <v>100</v>
      </c>
      <c r="AA9" s="536">
        <f t="shared" si="12"/>
        <v>104</v>
      </c>
      <c r="AB9" s="536">
        <f t="shared" si="12"/>
        <v>108</v>
      </c>
      <c r="AC9" s="536">
        <f t="shared" si="12"/>
        <v>112</v>
      </c>
      <c r="AD9" s="536">
        <f t="shared" si="12"/>
        <v>116</v>
      </c>
      <c r="AE9" s="536">
        <f t="shared" si="12"/>
        <v>120</v>
      </c>
      <c r="AF9" s="534">
        <f t="shared" si="12"/>
        <v>124</v>
      </c>
      <c r="AG9" s="537">
        <f t="shared" si="12"/>
        <v>128</v>
      </c>
      <c r="AH9" s="533">
        <f t="shared" si="12"/>
        <v>132</v>
      </c>
      <c r="AI9" s="533">
        <f t="shared" si="12"/>
        <v>136</v>
      </c>
      <c r="AJ9" s="533">
        <f t="shared" si="12"/>
        <v>140</v>
      </c>
      <c r="AK9" s="533">
        <f t="shared" si="12"/>
        <v>144</v>
      </c>
      <c r="AL9" s="533">
        <f t="shared" si="12"/>
        <v>148</v>
      </c>
      <c r="AM9" s="533">
        <f t="shared" si="12"/>
        <v>152</v>
      </c>
      <c r="AN9" s="533">
        <f t="shared" si="12"/>
        <v>156</v>
      </c>
      <c r="AO9" s="533">
        <f t="shared" ref="AO9:BM9" si="13">SUM(AO2*$B9)</f>
        <v>160</v>
      </c>
      <c r="AP9" s="533">
        <f t="shared" si="13"/>
        <v>164</v>
      </c>
      <c r="AQ9" s="533">
        <f t="shared" si="13"/>
        <v>168</v>
      </c>
      <c r="AR9" s="533">
        <f t="shared" si="13"/>
        <v>172</v>
      </c>
      <c r="AS9" s="533">
        <f t="shared" si="13"/>
        <v>176</v>
      </c>
      <c r="AT9" s="533">
        <f t="shared" si="13"/>
        <v>180</v>
      </c>
      <c r="AU9" s="533">
        <f t="shared" si="13"/>
        <v>184</v>
      </c>
      <c r="AV9" s="533">
        <f t="shared" si="13"/>
        <v>188</v>
      </c>
      <c r="AW9" s="533">
        <f t="shared" si="13"/>
        <v>192</v>
      </c>
      <c r="AX9" s="533">
        <f t="shared" si="13"/>
        <v>196</v>
      </c>
      <c r="AY9" s="533">
        <f t="shared" si="13"/>
        <v>200</v>
      </c>
      <c r="AZ9" s="533">
        <f t="shared" si="13"/>
        <v>204</v>
      </c>
      <c r="BA9" s="533">
        <f t="shared" si="13"/>
        <v>208</v>
      </c>
      <c r="BB9" s="533">
        <f t="shared" si="13"/>
        <v>212</v>
      </c>
      <c r="BC9" s="533">
        <f t="shared" si="13"/>
        <v>216</v>
      </c>
      <c r="BD9" s="533">
        <f t="shared" si="13"/>
        <v>220</v>
      </c>
      <c r="BE9" s="533">
        <f t="shared" si="13"/>
        <v>224</v>
      </c>
      <c r="BF9" s="533">
        <f t="shared" si="13"/>
        <v>228</v>
      </c>
      <c r="BG9" s="533">
        <f t="shared" si="13"/>
        <v>232</v>
      </c>
      <c r="BH9" s="533">
        <f t="shared" si="13"/>
        <v>236</v>
      </c>
      <c r="BI9" s="533">
        <f t="shared" si="13"/>
        <v>240</v>
      </c>
      <c r="BJ9" s="533">
        <f t="shared" si="13"/>
        <v>244</v>
      </c>
      <c r="BK9" s="533">
        <f t="shared" si="13"/>
        <v>248</v>
      </c>
      <c r="BL9" s="538">
        <f t="shared" si="13"/>
        <v>252</v>
      </c>
      <c r="BM9" s="539">
        <f t="shared" si="13"/>
        <v>256</v>
      </c>
    </row>
    <row r="10" spans="1:65" ht="14.25" customHeight="1">
      <c r="A10" s="634" t="s">
        <v>46</v>
      </c>
      <c r="B10" s="635"/>
      <c r="C10" s="228" t="s">
        <v>40</v>
      </c>
      <c r="D10" s="229" t="s">
        <v>40</v>
      </c>
      <c r="E10" s="230" t="s">
        <v>47</v>
      </c>
      <c r="F10" s="252" t="s">
        <v>47</v>
      </c>
      <c r="G10" s="252" t="s">
        <v>47</v>
      </c>
      <c r="H10" s="252" t="s">
        <v>47</v>
      </c>
      <c r="I10" s="252" t="s">
        <v>47</v>
      </c>
      <c r="J10" s="252" t="s">
        <v>47</v>
      </c>
      <c r="K10" s="252" t="s">
        <v>47</v>
      </c>
      <c r="L10" s="252" t="s">
        <v>47</v>
      </c>
      <c r="M10" s="252" t="s">
        <v>47</v>
      </c>
      <c r="N10" s="252" t="s">
        <v>47</v>
      </c>
      <c r="O10" s="252" t="s">
        <v>47</v>
      </c>
      <c r="P10" s="252" t="s">
        <v>47</v>
      </c>
      <c r="Q10" s="140">
        <f>Q9/2</f>
        <v>32</v>
      </c>
      <c r="R10" s="138">
        <f>R9/2</f>
        <v>34</v>
      </c>
      <c r="S10" s="138">
        <f>S9/2</f>
        <v>36</v>
      </c>
      <c r="T10" s="138">
        <f>T9/2</f>
        <v>38</v>
      </c>
      <c r="U10" s="138">
        <f t="shared" ref="U10:X10" si="14">U9/2</f>
        <v>40</v>
      </c>
      <c r="V10" s="138">
        <f t="shared" si="14"/>
        <v>42</v>
      </c>
      <c r="W10" s="240">
        <f t="shared" si="14"/>
        <v>44</v>
      </c>
      <c r="X10" s="239">
        <f t="shared" si="14"/>
        <v>46</v>
      </c>
      <c r="Y10" s="238">
        <f t="shared" ref="Y10" si="15">Y9/3</f>
        <v>32</v>
      </c>
      <c r="Z10" s="238">
        <f t="shared" ref="Z10" si="16">Z9/3</f>
        <v>33.333333333333336</v>
      </c>
      <c r="AA10" s="238">
        <f t="shared" ref="AA10" si="17">AA9/3</f>
        <v>34.666666666666664</v>
      </c>
      <c r="AB10" s="238">
        <f t="shared" ref="AB10" si="18">AB9/3</f>
        <v>36</v>
      </c>
      <c r="AC10" s="238">
        <f t="shared" ref="AC10" si="19">AC9/3</f>
        <v>37.333333333333336</v>
      </c>
      <c r="AD10" s="238">
        <f t="shared" ref="AD10" si="20">AD9/3</f>
        <v>38.666666666666664</v>
      </c>
      <c r="AE10" s="238">
        <f t="shared" ref="AE10" si="21">AE9/3</f>
        <v>40</v>
      </c>
      <c r="AF10" s="238">
        <f t="shared" ref="AF10" si="22">AF9/3</f>
        <v>41.333333333333336</v>
      </c>
      <c r="AG10" s="140">
        <f t="shared" ref="AG10:BM10" si="23">AG9/4</f>
        <v>32</v>
      </c>
      <c r="AH10" s="138">
        <f t="shared" si="23"/>
        <v>33</v>
      </c>
      <c r="AI10" s="138">
        <f t="shared" si="23"/>
        <v>34</v>
      </c>
      <c r="AJ10" s="138">
        <f t="shared" si="23"/>
        <v>35</v>
      </c>
      <c r="AK10" s="138">
        <f t="shared" si="23"/>
        <v>36</v>
      </c>
      <c r="AL10" s="138">
        <f t="shared" si="23"/>
        <v>37</v>
      </c>
      <c r="AM10" s="138">
        <f t="shared" si="23"/>
        <v>38</v>
      </c>
      <c r="AN10" s="138">
        <f t="shared" si="23"/>
        <v>39</v>
      </c>
      <c r="AO10" s="138">
        <f t="shared" si="23"/>
        <v>40</v>
      </c>
      <c r="AP10" s="138">
        <f t="shared" si="23"/>
        <v>41</v>
      </c>
      <c r="AQ10" s="138">
        <f t="shared" si="23"/>
        <v>42</v>
      </c>
      <c r="AR10" s="138">
        <f t="shared" si="23"/>
        <v>43</v>
      </c>
      <c r="AS10" s="138">
        <f t="shared" si="23"/>
        <v>44</v>
      </c>
      <c r="AT10" s="138">
        <f t="shared" si="23"/>
        <v>45</v>
      </c>
      <c r="AU10" s="138">
        <f t="shared" si="23"/>
        <v>46</v>
      </c>
      <c r="AV10" s="138">
        <f t="shared" si="23"/>
        <v>47</v>
      </c>
      <c r="AW10" s="138">
        <f t="shared" si="23"/>
        <v>48</v>
      </c>
      <c r="AX10" s="138">
        <f t="shared" si="23"/>
        <v>49</v>
      </c>
      <c r="AY10" s="138">
        <f t="shared" si="23"/>
        <v>50</v>
      </c>
      <c r="AZ10" s="138">
        <f t="shared" si="23"/>
        <v>51</v>
      </c>
      <c r="BA10" s="138">
        <f t="shared" si="23"/>
        <v>52</v>
      </c>
      <c r="BB10" s="138">
        <f t="shared" si="23"/>
        <v>53</v>
      </c>
      <c r="BC10" s="138">
        <f t="shared" si="23"/>
        <v>54</v>
      </c>
      <c r="BD10" s="138">
        <f t="shared" si="23"/>
        <v>55</v>
      </c>
      <c r="BE10" s="138">
        <f t="shared" si="23"/>
        <v>56</v>
      </c>
      <c r="BF10" s="138">
        <f t="shared" si="23"/>
        <v>57</v>
      </c>
      <c r="BG10" s="138">
        <f t="shared" si="23"/>
        <v>58</v>
      </c>
      <c r="BH10" s="138">
        <f t="shared" si="23"/>
        <v>59</v>
      </c>
      <c r="BI10" s="138">
        <f t="shared" si="23"/>
        <v>60</v>
      </c>
      <c r="BJ10" s="138">
        <f t="shared" si="23"/>
        <v>61</v>
      </c>
      <c r="BK10" s="138">
        <f t="shared" si="23"/>
        <v>62</v>
      </c>
      <c r="BL10" s="235">
        <f t="shared" si="23"/>
        <v>63</v>
      </c>
      <c r="BM10" s="141">
        <f t="shared" si="23"/>
        <v>64</v>
      </c>
    </row>
    <row r="11" spans="1:65" ht="14.25" customHeight="1">
      <c r="A11" s="630" t="s">
        <v>48</v>
      </c>
      <c r="B11" s="657"/>
      <c r="C11" s="243" t="s">
        <v>40</v>
      </c>
      <c r="D11" s="244" t="s">
        <v>40</v>
      </c>
      <c r="E11" s="245" t="s">
        <v>47</v>
      </c>
      <c r="F11" s="246" t="s">
        <v>47</v>
      </c>
      <c r="G11" s="246" t="s">
        <v>47</v>
      </c>
      <c r="H11" s="246" t="s">
        <v>47</v>
      </c>
      <c r="I11" s="246" t="s">
        <v>47</v>
      </c>
      <c r="J11" s="246" t="s">
        <v>47</v>
      </c>
      <c r="K11" s="246" t="s">
        <v>47</v>
      </c>
      <c r="L11" s="246" t="s">
        <v>47</v>
      </c>
      <c r="M11" s="246" t="s">
        <v>47</v>
      </c>
      <c r="N11" s="246" t="s">
        <v>47</v>
      </c>
      <c r="O11" s="246" t="s">
        <v>47</v>
      </c>
      <c r="P11" s="246" t="s">
        <v>47</v>
      </c>
      <c r="Q11" s="247">
        <f t="shared" ref="Q11:BM11" si="24">Q10</f>
        <v>32</v>
      </c>
      <c r="R11" s="248">
        <f t="shared" si="24"/>
        <v>34</v>
      </c>
      <c r="S11" s="248">
        <f t="shared" si="24"/>
        <v>36</v>
      </c>
      <c r="T11" s="248">
        <f t="shared" si="24"/>
        <v>38</v>
      </c>
      <c r="U11" s="248">
        <f t="shared" si="24"/>
        <v>40</v>
      </c>
      <c r="V11" s="248">
        <f t="shared" si="24"/>
        <v>42</v>
      </c>
      <c r="W11" s="249">
        <f t="shared" si="24"/>
        <v>44</v>
      </c>
      <c r="X11" s="250">
        <f t="shared" si="24"/>
        <v>46</v>
      </c>
      <c r="Y11" s="237">
        <f t="shared" si="24"/>
        <v>32</v>
      </c>
      <c r="Z11" s="237">
        <f t="shared" ref="Z11:AF11" si="25">Z10</f>
        <v>33.333333333333336</v>
      </c>
      <c r="AA11" s="237">
        <f t="shared" si="25"/>
        <v>34.666666666666664</v>
      </c>
      <c r="AB11" s="237">
        <f t="shared" si="25"/>
        <v>36</v>
      </c>
      <c r="AC11" s="237">
        <f t="shared" si="25"/>
        <v>37.333333333333336</v>
      </c>
      <c r="AD11" s="237">
        <f t="shared" si="25"/>
        <v>38.666666666666664</v>
      </c>
      <c r="AE11" s="237">
        <f t="shared" si="25"/>
        <v>40</v>
      </c>
      <c r="AF11" s="237">
        <f t="shared" si="25"/>
        <v>41.333333333333336</v>
      </c>
      <c r="AG11" s="142">
        <f t="shared" si="24"/>
        <v>32</v>
      </c>
      <c r="AH11" s="139">
        <f t="shared" si="24"/>
        <v>33</v>
      </c>
      <c r="AI11" s="139">
        <f t="shared" si="24"/>
        <v>34</v>
      </c>
      <c r="AJ11" s="139">
        <f t="shared" si="24"/>
        <v>35</v>
      </c>
      <c r="AK11" s="139">
        <f t="shared" si="24"/>
        <v>36</v>
      </c>
      <c r="AL11" s="139">
        <f t="shared" si="24"/>
        <v>37</v>
      </c>
      <c r="AM11" s="139">
        <f t="shared" si="24"/>
        <v>38</v>
      </c>
      <c r="AN11" s="139">
        <f t="shared" si="24"/>
        <v>39</v>
      </c>
      <c r="AO11" s="139">
        <f t="shared" si="24"/>
        <v>40</v>
      </c>
      <c r="AP11" s="139">
        <f t="shared" si="24"/>
        <v>41</v>
      </c>
      <c r="AQ11" s="139">
        <f t="shared" si="24"/>
        <v>42</v>
      </c>
      <c r="AR11" s="139">
        <f t="shared" si="24"/>
        <v>43</v>
      </c>
      <c r="AS11" s="139">
        <f t="shared" si="24"/>
        <v>44</v>
      </c>
      <c r="AT11" s="139">
        <f t="shared" si="24"/>
        <v>45</v>
      </c>
      <c r="AU11" s="139">
        <f t="shared" si="24"/>
        <v>46</v>
      </c>
      <c r="AV11" s="139">
        <f t="shared" si="24"/>
        <v>47</v>
      </c>
      <c r="AW11" s="139">
        <f t="shared" si="24"/>
        <v>48</v>
      </c>
      <c r="AX11" s="139">
        <f t="shared" si="24"/>
        <v>49</v>
      </c>
      <c r="AY11" s="139">
        <f t="shared" si="24"/>
        <v>50</v>
      </c>
      <c r="AZ11" s="139">
        <f t="shared" si="24"/>
        <v>51</v>
      </c>
      <c r="BA11" s="139">
        <f t="shared" si="24"/>
        <v>52</v>
      </c>
      <c r="BB11" s="139">
        <f t="shared" si="24"/>
        <v>53</v>
      </c>
      <c r="BC11" s="139">
        <f t="shared" si="24"/>
        <v>54</v>
      </c>
      <c r="BD11" s="139">
        <f t="shared" si="24"/>
        <v>55</v>
      </c>
      <c r="BE11" s="139">
        <f t="shared" si="24"/>
        <v>56</v>
      </c>
      <c r="BF11" s="139">
        <f t="shared" si="24"/>
        <v>57</v>
      </c>
      <c r="BG11" s="139">
        <f t="shared" si="24"/>
        <v>58</v>
      </c>
      <c r="BH11" s="139">
        <f t="shared" si="24"/>
        <v>59</v>
      </c>
      <c r="BI11" s="139">
        <f t="shared" si="24"/>
        <v>60</v>
      </c>
      <c r="BJ11" s="139">
        <f t="shared" si="24"/>
        <v>61</v>
      </c>
      <c r="BK11" s="139">
        <f t="shared" si="24"/>
        <v>62</v>
      </c>
      <c r="BL11" s="236">
        <f t="shared" si="24"/>
        <v>63</v>
      </c>
      <c r="BM11" s="143">
        <f t="shared" si="24"/>
        <v>64</v>
      </c>
    </row>
    <row r="12" spans="1:65" ht="14.25" customHeight="1">
      <c r="A12" s="634" t="s">
        <v>77</v>
      </c>
      <c r="B12" s="658"/>
      <c r="C12" s="228" t="s">
        <v>40</v>
      </c>
      <c r="D12" s="229" t="s">
        <v>40</v>
      </c>
      <c r="E12" s="230" t="s">
        <v>47</v>
      </c>
      <c r="F12" s="252" t="s">
        <v>47</v>
      </c>
      <c r="G12" s="252" t="s">
        <v>47</v>
      </c>
      <c r="H12" s="252" t="s">
        <v>47</v>
      </c>
      <c r="I12" s="252" t="s">
        <v>47</v>
      </c>
      <c r="J12" s="252" t="s">
        <v>47</v>
      </c>
      <c r="K12" s="252" t="s">
        <v>47</v>
      </c>
      <c r="L12" s="252" t="s">
        <v>47</v>
      </c>
      <c r="M12" s="252" t="s">
        <v>47</v>
      </c>
      <c r="N12" s="252" t="s">
        <v>47</v>
      </c>
      <c r="O12" s="252" t="s">
        <v>47</v>
      </c>
      <c r="P12" s="252" t="s">
        <v>47</v>
      </c>
      <c r="Q12" s="230" t="s">
        <v>47</v>
      </c>
      <c r="R12" s="252" t="s">
        <v>47</v>
      </c>
      <c r="S12" s="252" t="s">
        <v>47</v>
      </c>
      <c r="T12" s="252" t="s">
        <v>47</v>
      </c>
      <c r="U12" s="252" t="s">
        <v>47</v>
      </c>
      <c r="V12" s="252" t="s">
        <v>47</v>
      </c>
      <c r="W12" s="252" t="s">
        <v>47</v>
      </c>
      <c r="X12" s="241" t="s">
        <v>47</v>
      </c>
      <c r="Y12" s="238">
        <f t="shared" ref="Y12:BM12" si="26">Y11</f>
        <v>32</v>
      </c>
      <c r="Z12" s="238">
        <f t="shared" ref="Z12:AF12" si="27">Z11</f>
        <v>33.333333333333336</v>
      </c>
      <c r="AA12" s="238">
        <f t="shared" si="27"/>
        <v>34.666666666666664</v>
      </c>
      <c r="AB12" s="238">
        <f t="shared" si="27"/>
        <v>36</v>
      </c>
      <c r="AC12" s="238">
        <f t="shared" si="27"/>
        <v>37.333333333333336</v>
      </c>
      <c r="AD12" s="238">
        <f t="shared" si="27"/>
        <v>38.666666666666664</v>
      </c>
      <c r="AE12" s="238">
        <f t="shared" si="27"/>
        <v>40</v>
      </c>
      <c r="AF12" s="238">
        <f t="shared" si="27"/>
        <v>41.333333333333336</v>
      </c>
      <c r="AG12" s="140">
        <f t="shared" si="26"/>
        <v>32</v>
      </c>
      <c r="AH12" s="138">
        <f t="shared" si="26"/>
        <v>33</v>
      </c>
      <c r="AI12" s="138">
        <f t="shared" si="26"/>
        <v>34</v>
      </c>
      <c r="AJ12" s="138">
        <f t="shared" si="26"/>
        <v>35</v>
      </c>
      <c r="AK12" s="138">
        <f t="shared" si="26"/>
        <v>36</v>
      </c>
      <c r="AL12" s="138">
        <f t="shared" si="26"/>
        <v>37</v>
      </c>
      <c r="AM12" s="138">
        <f t="shared" si="26"/>
        <v>38</v>
      </c>
      <c r="AN12" s="138">
        <f t="shared" si="26"/>
        <v>39</v>
      </c>
      <c r="AO12" s="138">
        <f t="shared" si="26"/>
        <v>40</v>
      </c>
      <c r="AP12" s="138">
        <f t="shared" si="26"/>
        <v>41</v>
      </c>
      <c r="AQ12" s="138">
        <f t="shared" si="26"/>
        <v>42</v>
      </c>
      <c r="AR12" s="138">
        <f t="shared" si="26"/>
        <v>43</v>
      </c>
      <c r="AS12" s="138">
        <f t="shared" si="26"/>
        <v>44</v>
      </c>
      <c r="AT12" s="138">
        <f t="shared" si="26"/>
        <v>45</v>
      </c>
      <c r="AU12" s="138">
        <f t="shared" si="26"/>
        <v>46</v>
      </c>
      <c r="AV12" s="138">
        <f t="shared" si="26"/>
        <v>47</v>
      </c>
      <c r="AW12" s="138">
        <f t="shared" si="26"/>
        <v>48</v>
      </c>
      <c r="AX12" s="138">
        <f t="shared" si="26"/>
        <v>49</v>
      </c>
      <c r="AY12" s="138">
        <f t="shared" si="26"/>
        <v>50</v>
      </c>
      <c r="AZ12" s="138">
        <f t="shared" si="26"/>
        <v>51</v>
      </c>
      <c r="BA12" s="138">
        <f t="shared" si="26"/>
        <v>52</v>
      </c>
      <c r="BB12" s="138">
        <f t="shared" si="26"/>
        <v>53</v>
      </c>
      <c r="BC12" s="138">
        <f t="shared" si="26"/>
        <v>54</v>
      </c>
      <c r="BD12" s="138">
        <f t="shared" si="26"/>
        <v>55</v>
      </c>
      <c r="BE12" s="138">
        <f t="shared" si="26"/>
        <v>56</v>
      </c>
      <c r="BF12" s="138">
        <f t="shared" si="26"/>
        <v>57</v>
      </c>
      <c r="BG12" s="138">
        <f t="shared" si="26"/>
        <v>58</v>
      </c>
      <c r="BH12" s="138">
        <f t="shared" si="26"/>
        <v>59</v>
      </c>
      <c r="BI12" s="138">
        <f t="shared" si="26"/>
        <v>60</v>
      </c>
      <c r="BJ12" s="138">
        <f t="shared" si="26"/>
        <v>61</v>
      </c>
      <c r="BK12" s="138">
        <f t="shared" si="26"/>
        <v>62</v>
      </c>
      <c r="BL12" s="235">
        <f t="shared" si="26"/>
        <v>63</v>
      </c>
      <c r="BM12" s="141">
        <f t="shared" si="26"/>
        <v>64</v>
      </c>
    </row>
    <row r="13" spans="1:65" ht="14.25" customHeight="1" thickBot="1">
      <c r="A13" s="630" t="s">
        <v>78</v>
      </c>
      <c r="B13" s="657"/>
      <c r="C13" s="228" t="s">
        <v>40</v>
      </c>
      <c r="D13" s="229" t="s">
        <v>40</v>
      </c>
      <c r="E13" s="230" t="s">
        <v>47</v>
      </c>
      <c r="F13" s="252" t="s">
        <v>47</v>
      </c>
      <c r="G13" s="252" t="s">
        <v>47</v>
      </c>
      <c r="H13" s="252" t="s">
        <v>47</v>
      </c>
      <c r="I13" s="252" t="s">
        <v>47</v>
      </c>
      <c r="J13" s="252" t="s">
        <v>47</v>
      </c>
      <c r="K13" s="252" t="s">
        <v>47</v>
      </c>
      <c r="L13" s="252" t="s">
        <v>47</v>
      </c>
      <c r="M13" s="252" t="s">
        <v>47</v>
      </c>
      <c r="N13" s="252" t="s">
        <v>47</v>
      </c>
      <c r="O13" s="252" t="s">
        <v>47</v>
      </c>
      <c r="P13" s="252" t="s">
        <v>47</v>
      </c>
      <c r="Q13" s="231" t="s">
        <v>47</v>
      </c>
      <c r="R13" s="252" t="s">
        <v>47</v>
      </c>
      <c r="S13" s="252" t="s">
        <v>47</v>
      </c>
      <c r="T13" s="252" t="s">
        <v>47</v>
      </c>
      <c r="U13" s="252" t="s">
        <v>47</v>
      </c>
      <c r="V13" s="252" t="s">
        <v>47</v>
      </c>
      <c r="W13" s="252" t="s">
        <v>47</v>
      </c>
      <c r="X13" s="242" t="s">
        <v>47</v>
      </c>
      <c r="Y13" s="231" t="s">
        <v>47</v>
      </c>
      <c r="Z13" s="252" t="s">
        <v>47</v>
      </c>
      <c r="AA13" s="252" t="s">
        <v>47</v>
      </c>
      <c r="AB13" s="252" t="s">
        <v>47</v>
      </c>
      <c r="AC13" s="252" t="s">
        <v>47</v>
      </c>
      <c r="AD13" s="252" t="s">
        <v>47</v>
      </c>
      <c r="AE13" s="252" t="s">
        <v>47</v>
      </c>
      <c r="AF13" s="242" t="s">
        <v>47</v>
      </c>
      <c r="AG13" s="142">
        <f t="shared" ref="AG13:BM13" si="28">AG12</f>
        <v>32</v>
      </c>
      <c r="AH13" s="139">
        <f t="shared" si="28"/>
        <v>33</v>
      </c>
      <c r="AI13" s="139">
        <f t="shared" si="28"/>
        <v>34</v>
      </c>
      <c r="AJ13" s="139">
        <f t="shared" si="28"/>
        <v>35</v>
      </c>
      <c r="AK13" s="139">
        <f t="shared" si="28"/>
        <v>36</v>
      </c>
      <c r="AL13" s="139">
        <f t="shared" si="28"/>
        <v>37</v>
      </c>
      <c r="AM13" s="139">
        <f t="shared" si="28"/>
        <v>38</v>
      </c>
      <c r="AN13" s="139">
        <f t="shared" si="28"/>
        <v>39</v>
      </c>
      <c r="AO13" s="139">
        <f t="shared" si="28"/>
        <v>40</v>
      </c>
      <c r="AP13" s="139">
        <f t="shared" si="28"/>
        <v>41</v>
      </c>
      <c r="AQ13" s="139">
        <f t="shared" si="28"/>
        <v>42</v>
      </c>
      <c r="AR13" s="139">
        <f t="shared" si="28"/>
        <v>43</v>
      </c>
      <c r="AS13" s="139">
        <f t="shared" si="28"/>
        <v>44</v>
      </c>
      <c r="AT13" s="139">
        <f t="shared" si="28"/>
        <v>45</v>
      </c>
      <c r="AU13" s="139">
        <f t="shared" si="28"/>
        <v>46</v>
      </c>
      <c r="AV13" s="139">
        <f t="shared" si="28"/>
        <v>47</v>
      </c>
      <c r="AW13" s="139">
        <f t="shared" si="28"/>
        <v>48</v>
      </c>
      <c r="AX13" s="139">
        <f t="shared" si="28"/>
        <v>49</v>
      </c>
      <c r="AY13" s="139">
        <f t="shared" si="28"/>
        <v>50</v>
      </c>
      <c r="AZ13" s="139">
        <f t="shared" si="28"/>
        <v>51</v>
      </c>
      <c r="BA13" s="139">
        <f t="shared" si="28"/>
        <v>52</v>
      </c>
      <c r="BB13" s="139">
        <f t="shared" si="28"/>
        <v>53</v>
      </c>
      <c r="BC13" s="139">
        <f t="shared" si="28"/>
        <v>54</v>
      </c>
      <c r="BD13" s="139">
        <f t="shared" si="28"/>
        <v>55</v>
      </c>
      <c r="BE13" s="139">
        <f t="shared" si="28"/>
        <v>56</v>
      </c>
      <c r="BF13" s="139">
        <f t="shared" si="28"/>
        <v>57</v>
      </c>
      <c r="BG13" s="139">
        <f t="shared" si="28"/>
        <v>58</v>
      </c>
      <c r="BH13" s="139">
        <f t="shared" si="28"/>
        <v>59</v>
      </c>
      <c r="BI13" s="139">
        <f t="shared" si="28"/>
        <v>60</v>
      </c>
      <c r="BJ13" s="139">
        <f t="shared" si="28"/>
        <v>61</v>
      </c>
      <c r="BK13" s="139">
        <f t="shared" si="28"/>
        <v>62</v>
      </c>
      <c r="BL13" s="236">
        <f t="shared" si="28"/>
        <v>63</v>
      </c>
      <c r="BM13" s="251">
        <f t="shared" si="28"/>
        <v>64</v>
      </c>
    </row>
    <row r="14" spans="1:65" s="500" customFormat="1" ht="20.25" customHeight="1" thickBot="1">
      <c r="A14" s="501" t="s">
        <v>49</v>
      </c>
      <c r="B14" s="525">
        <v>2</v>
      </c>
      <c r="C14" s="526" t="s">
        <v>40</v>
      </c>
      <c r="D14" s="527" t="s">
        <v>40</v>
      </c>
      <c r="E14" s="528">
        <f t="shared" ref="E14:AH14" si="29">SUM(E2*$B14)</f>
        <v>8</v>
      </c>
      <c r="F14" s="528">
        <f t="shared" si="29"/>
        <v>10</v>
      </c>
      <c r="G14" s="528">
        <f t="shared" si="29"/>
        <v>12</v>
      </c>
      <c r="H14" s="528">
        <f t="shared" si="29"/>
        <v>14</v>
      </c>
      <c r="I14" s="528">
        <f t="shared" si="29"/>
        <v>16</v>
      </c>
      <c r="J14" s="528">
        <f t="shared" si="29"/>
        <v>18</v>
      </c>
      <c r="K14" s="528">
        <f t="shared" si="29"/>
        <v>20</v>
      </c>
      <c r="L14" s="528">
        <f t="shared" si="29"/>
        <v>22</v>
      </c>
      <c r="M14" s="528">
        <f t="shared" si="29"/>
        <v>24</v>
      </c>
      <c r="N14" s="528">
        <f t="shared" si="29"/>
        <v>26</v>
      </c>
      <c r="O14" s="528">
        <f t="shared" si="29"/>
        <v>28</v>
      </c>
      <c r="P14" s="528">
        <f t="shared" si="29"/>
        <v>30</v>
      </c>
      <c r="Q14" s="528">
        <f t="shared" si="29"/>
        <v>32</v>
      </c>
      <c r="R14" s="528">
        <f t="shared" si="29"/>
        <v>34</v>
      </c>
      <c r="S14" s="528">
        <f t="shared" si="29"/>
        <v>36</v>
      </c>
      <c r="T14" s="528">
        <f t="shared" si="29"/>
        <v>38</v>
      </c>
      <c r="U14" s="528">
        <f t="shared" si="29"/>
        <v>40</v>
      </c>
      <c r="V14" s="528">
        <f t="shared" si="29"/>
        <v>42</v>
      </c>
      <c r="W14" s="528">
        <f t="shared" si="29"/>
        <v>44</v>
      </c>
      <c r="X14" s="529">
        <f t="shared" si="29"/>
        <v>46</v>
      </c>
      <c r="Y14" s="529">
        <f t="shared" si="29"/>
        <v>48</v>
      </c>
      <c r="Z14" s="529">
        <f t="shared" si="29"/>
        <v>50</v>
      </c>
      <c r="AA14" s="529">
        <f t="shared" si="29"/>
        <v>52</v>
      </c>
      <c r="AB14" s="529">
        <f t="shared" si="29"/>
        <v>54</v>
      </c>
      <c r="AC14" s="529">
        <f t="shared" si="29"/>
        <v>56</v>
      </c>
      <c r="AD14" s="529">
        <f t="shared" si="29"/>
        <v>58</v>
      </c>
      <c r="AE14" s="529">
        <f t="shared" si="29"/>
        <v>60</v>
      </c>
      <c r="AF14" s="529">
        <f t="shared" si="29"/>
        <v>62</v>
      </c>
      <c r="AG14" s="528">
        <f t="shared" si="29"/>
        <v>64</v>
      </c>
      <c r="AH14" s="528">
        <f t="shared" si="29"/>
        <v>66</v>
      </c>
      <c r="AI14" s="528">
        <f t="shared" ref="AI14:BM14" si="30">SUM(AI2*$B14)</f>
        <v>68</v>
      </c>
      <c r="AJ14" s="528">
        <f t="shared" si="30"/>
        <v>70</v>
      </c>
      <c r="AK14" s="528">
        <f t="shared" si="30"/>
        <v>72</v>
      </c>
      <c r="AL14" s="528">
        <f t="shared" si="30"/>
        <v>74</v>
      </c>
      <c r="AM14" s="528">
        <f t="shared" si="30"/>
        <v>76</v>
      </c>
      <c r="AN14" s="528">
        <f t="shared" si="30"/>
        <v>78</v>
      </c>
      <c r="AO14" s="528">
        <f t="shared" si="30"/>
        <v>80</v>
      </c>
      <c r="AP14" s="528">
        <f t="shared" si="30"/>
        <v>82</v>
      </c>
      <c r="AQ14" s="528">
        <f t="shared" si="30"/>
        <v>84</v>
      </c>
      <c r="AR14" s="528">
        <f t="shared" si="30"/>
        <v>86</v>
      </c>
      <c r="AS14" s="528">
        <f t="shared" si="30"/>
        <v>88</v>
      </c>
      <c r="AT14" s="528">
        <f t="shared" si="30"/>
        <v>90</v>
      </c>
      <c r="AU14" s="528">
        <f t="shared" si="30"/>
        <v>92</v>
      </c>
      <c r="AV14" s="528">
        <f t="shared" si="30"/>
        <v>94</v>
      </c>
      <c r="AW14" s="528">
        <f t="shared" si="30"/>
        <v>96</v>
      </c>
      <c r="AX14" s="528">
        <f t="shared" si="30"/>
        <v>98</v>
      </c>
      <c r="AY14" s="528">
        <f t="shared" si="30"/>
        <v>100</v>
      </c>
      <c r="AZ14" s="528">
        <f t="shared" si="30"/>
        <v>102</v>
      </c>
      <c r="BA14" s="528">
        <f t="shared" si="30"/>
        <v>104</v>
      </c>
      <c r="BB14" s="528">
        <f t="shared" si="30"/>
        <v>106</v>
      </c>
      <c r="BC14" s="528">
        <f t="shared" si="30"/>
        <v>108</v>
      </c>
      <c r="BD14" s="528">
        <f t="shared" si="30"/>
        <v>110</v>
      </c>
      <c r="BE14" s="528">
        <f t="shared" si="30"/>
        <v>112</v>
      </c>
      <c r="BF14" s="528">
        <f t="shared" si="30"/>
        <v>114</v>
      </c>
      <c r="BG14" s="528">
        <f t="shared" si="30"/>
        <v>116</v>
      </c>
      <c r="BH14" s="528">
        <f t="shared" si="30"/>
        <v>118</v>
      </c>
      <c r="BI14" s="528">
        <f t="shared" si="30"/>
        <v>120</v>
      </c>
      <c r="BJ14" s="528">
        <f t="shared" si="30"/>
        <v>122</v>
      </c>
      <c r="BK14" s="528">
        <f t="shared" si="30"/>
        <v>124</v>
      </c>
      <c r="BL14" s="528">
        <f t="shared" si="30"/>
        <v>126</v>
      </c>
      <c r="BM14" s="530">
        <f t="shared" si="30"/>
        <v>128</v>
      </c>
    </row>
    <row r="15" spans="1:65" ht="14.25" customHeight="1" thickBot="1">
      <c r="A15" s="253"/>
      <c r="B15" s="253"/>
      <c r="C15" s="254"/>
      <c r="D15" s="254"/>
      <c r="E15" s="254"/>
      <c r="F15" s="254"/>
      <c r="G15" s="254"/>
      <c r="H15" s="254"/>
      <c r="I15" s="255"/>
      <c r="J15" s="255"/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27"/>
      <c r="AH15" s="227"/>
      <c r="AI15" s="227"/>
      <c r="AJ15" s="227"/>
      <c r="AK15" s="227"/>
      <c r="AL15" s="227"/>
      <c r="AM15" s="227"/>
      <c r="AN15" s="227"/>
      <c r="AO15" s="227"/>
      <c r="AP15" s="227"/>
      <c r="AQ15" s="227"/>
      <c r="AR15" s="227"/>
      <c r="AS15" s="227"/>
      <c r="AT15" s="227"/>
      <c r="AU15" s="227"/>
      <c r="AV15" s="227"/>
      <c r="AW15" s="227"/>
      <c r="AX15" s="227"/>
      <c r="AY15" s="227"/>
      <c r="AZ15" s="227"/>
      <c r="BA15" s="227"/>
      <c r="BB15" s="227"/>
      <c r="BC15" s="227"/>
      <c r="BD15" s="227"/>
      <c r="BE15" s="227"/>
      <c r="BF15" s="227"/>
      <c r="BG15" s="227"/>
      <c r="BH15" s="227"/>
      <c r="BI15" s="227"/>
      <c r="BJ15" s="227"/>
      <c r="BK15" s="227"/>
      <c r="BL15" s="227"/>
      <c r="BM15" s="227"/>
    </row>
    <row r="16" spans="1:65" s="14" customFormat="1" ht="21">
      <c r="A16" s="20" t="s">
        <v>25</v>
      </c>
      <c r="B16" s="21">
        <v>26</v>
      </c>
      <c r="C16" s="22">
        <v>2</v>
      </c>
      <c r="D16" s="205">
        <v>3</v>
      </c>
      <c r="E16" s="337">
        <v>4</v>
      </c>
      <c r="F16" s="23">
        <v>5</v>
      </c>
      <c r="G16" s="23">
        <v>6</v>
      </c>
      <c r="H16" s="23">
        <v>7</v>
      </c>
      <c r="I16" s="23">
        <v>8</v>
      </c>
      <c r="J16" s="23">
        <v>9</v>
      </c>
      <c r="K16" s="23">
        <v>10</v>
      </c>
      <c r="L16" s="23">
        <v>11</v>
      </c>
      <c r="M16" s="23">
        <v>12</v>
      </c>
      <c r="N16" s="23">
        <v>13</v>
      </c>
      <c r="O16" s="23">
        <v>14</v>
      </c>
      <c r="P16" s="23">
        <v>15</v>
      </c>
      <c r="Q16" s="24">
        <v>16</v>
      </c>
      <c r="R16" s="24">
        <v>17</v>
      </c>
      <c r="S16" s="24">
        <v>18</v>
      </c>
      <c r="T16" s="24">
        <v>19</v>
      </c>
      <c r="U16" s="24">
        <v>20</v>
      </c>
      <c r="V16" s="24">
        <v>21</v>
      </c>
      <c r="W16" s="24">
        <v>22</v>
      </c>
      <c r="X16" s="24">
        <v>23</v>
      </c>
      <c r="Y16" s="24">
        <v>24</v>
      </c>
      <c r="Z16" s="24">
        <v>25</v>
      </c>
      <c r="AA16" s="24">
        <v>26</v>
      </c>
      <c r="AB16" s="24">
        <v>27</v>
      </c>
      <c r="AC16" s="24">
        <v>28</v>
      </c>
      <c r="AD16" s="24">
        <v>29</v>
      </c>
      <c r="AE16" s="24">
        <v>30</v>
      </c>
      <c r="AF16" s="24">
        <v>31</v>
      </c>
      <c r="AG16" s="24">
        <v>32</v>
      </c>
      <c r="AH16" s="24">
        <v>33</v>
      </c>
      <c r="AI16" s="24">
        <v>34</v>
      </c>
      <c r="AJ16" s="24">
        <v>35</v>
      </c>
      <c r="AK16" s="24">
        <v>36</v>
      </c>
      <c r="AL16" s="24">
        <v>37</v>
      </c>
      <c r="AM16" s="24">
        <v>38</v>
      </c>
      <c r="AN16" s="24">
        <v>39</v>
      </c>
      <c r="AO16" s="24">
        <v>40</v>
      </c>
      <c r="AP16" s="24">
        <v>41</v>
      </c>
      <c r="AQ16" s="24">
        <v>42</v>
      </c>
      <c r="AR16" s="24">
        <v>43</v>
      </c>
      <c r="AS16" s="24">
        <v>44</v>
      </c>
      <c r="AT16" s="24">
        <v>45</v>
      </c>
      <c r="AU16" s="24">
        <v>46</v>
      </c>
      <c r="AV16" s="24">
        <v>47</v>
      </c>
      <c r="AW16" s="24">
        <v>48</v>
      </c>
      <c r="AX16" s="24">
        <v>49</v>
      </c>
      <c r="AY16" s="24">
        <v>50</v>
      </c>
      <c r="AZ16" s="24">
        <v>51</v>
      </c>
      <c r="BA16" s="24">
        <v>52</v>
      </c>
      <c r="BB16" s="24">
        <v>53</v>
      </c>
      <c r="BC16" s="24">
        <v>54</v>
      </c>
      <c r="BD16" s="24">
        <v>55</v>
      </c>
      <c r="BE16" s="24">
        <v>56</v>
      </c>
      <c r="BF16" s="24">
        <v>57</v>
      </c>
      <c r="BG16" s="24">
        <v>58</v>
      </c>
      <c r="BH16" s="24">
        <v>59</v>
      </c>
      <c r="BI16" s="24">
        <v>60</v>
      </c>
      <c r="BJ16" s="24">
        <v>61</v>
      </c>
      <c r="BK16" s="24">
        <v>62</v>
      </c>
      <c r="BL16" s="24">
        <v>63</v>
      </c>
      <c r="BM16" s="25">
        <v>64</v>
      </c>
    </row>
    <row r="17" spans="1:65" s="560" customFormat="1" ht="19" thickBot="1">
      <c r="A17" s="648" t="s">
        <v>38</v>
      </c>
      <c r="B17" s="649"/>
      <c r="C17" s="554">
        <f t="shared" ref="C17:BM17" si="31">SUM(C16*$B16)</f>
        <v>52</v>
      </c>
      <c r="D17" s="555">
        <f t="shared" si="31"/>
        <v>78</v>
      </c>
      <c r="E17" s="556">
        <f t="shared" si="31"/>
        <v>104</v>
      </c>
      <c r="F17" s="557">
        <f t="shared" si="31"/>
        <v>130</v>
      </c>
      <c r="G17" s="557">
        <f t="shared" si="31"/>
        <v>156</v>
      </c>
      <c r="H17" s="557">
        <f t="shared" si="31"/>
        <v>182</v>
      </c>
      <c r="I17" s="557">
        <f t="shared" si="31"/>
        <v>208</v>
      </c>
      <c r="J17" s="557">
        <f t="shared" si="31"/>
        <v>234</v>
      </c>
      <c r="K17" s="557">
        <f t="shared" si="31"/>
        <v>260</v>
      </c>
      <c r="L17" s="558">
        <f t="shared" si="31"/>
        <v>286</v>
      </c>
      <c r="M17" s="557">
        <f t="shared" si="31"/>
        <v>312</v>
      </c>
      <c r="N17" s="557">
        <f t="shared" si="31"/>
        <v>338</v>
      </c>
      <c r="O17" s="557">
        <f t="shared" si="31"/>
        <v>364</v>
      </c>
      <c r="P17" s="557">
        <f t="shared" si="31"/>
        <v>390</v>
      </c>
      <c r="Q17" s="557">
        <f t="shared" si="31"/>
        <v>416</v>
      </c>
      <c r="R17" s="557">
        <f t="shared" si="31"/>
        <v>442</v>
      </c>
      <c r="S17" s="557">
        <f t="shared" si="31"/>
        <v>468</v>
      </c>
      <c r="T17" s="557">
        <f t="shared" si="31"/>
        <v>494</v>
      </c>
      <c r="U17" s="557">
        <f t="shared" si="31"/>
        <v>520</v>
      </c>
      <c r="V17" s="557">
        <f t="shared" si="31"/>
        <v>546</v>
      </c>
      <c r="W17" s="557">
        <f t="shared" si="31"/>
        <v>572</v>
      </c>
      <c r="X17" s="557">
        <f t="shared" si="31"/>
        <v>598</v>
      </c>
      <c r="Y17" s="557">
        <f t="shared" si="31"/>
        <v>624</v>
      </c>
      <c r="Z17" s="557">
        <f t="shared" si="31"/>
        <v>650</v>
      </c>
      <c r="AA17" s="557">
        <f t="shared" si="31"/>
        <v>676</v>
      </c>
      <c r="AB17" s="557">
        <f t="shared" si="31"/>
        <v>702</v>
      </c>
      <c r="AC17" s="557">
        <f t="shared" si="31"/>
        <v>728</v>
      </c>
      <c r="AD17" s="557">
        <f t="shared" si="31"/>
        <v>754</v>
      </c>
      <c r="AE17" s="557">
        <f t="shared" si="31"/>
        <v>780</v>
      </c>
      <c r="AF17" s="557">
        <f t="shared" si="31"/>
        <v>806</v>
      </c>
      <c r="AG17" s="557">
        <f t="shared" si="31"/>
        <v>832</v>
      </c>
      <c r="AH17" s="557">
        <f t="shared" si="31"/>
        <v>858</v>
      </c>
      <c r="AI17" s="557">
        <f t="shared" si="31"/>
        <v>884</v>
      </c>
      <c r="AJ17" s="557">
        <f t="shared" si="31"/>
        <v>910</v>
      </c>
      <c r="AK17" s="557">
        <f t="shared" si="31"/>
        <v>936</v>
      </c>
      <c r="AL17" s="557">
        <f t="shared" si="31"/>
        <v>962</v>
      </c>
      <c r="AM17" s="557">
        <f t="shared" si="31"/>
        <v>988</v>
      </c>
      <c r="AN17" s="557">
        <f t="shared" si="31"/>
        <v>1014</v>
      </c>
      <c r="AO17" s="557">
        <f t="shared" si="31"/>
        <v>1040</v>
      </c>
      <c r="AP17" s="557">
        <f t="shared" si="31"/>
        <v>1066</v>
      </c>
      <c r="AQ17" s="557">
        <f t="shared" si="31"/>
        <v>1092</v>
      </c>
      <c r="AR17" s="557">
        <f t="shared" si="31"/>
        <v>1118</v>
      </c>
      <c r="AS17" s="557">
        <f t="shared" si="31"/>
        <v>1144</v>
      </c>
      <c r="AT17" s="557">
        <f t="shared" si="31"/>
        <v>1170</v>
      </c>
      <c r="AU17" s="557">
        <f t="shared" si="31"/>
        <v>1196</v>
      </c>
      <c r="AV17" s="557">
        <f t="shared" si="31"/>
        <v>1222</v>
      </c>
      <c r="AW17" s="557">
        <f t="shared" si="31"/>
        <v>1248</v>
      </c>
      <c r="AX17" s="557">
        <f t="shared" si="31"/>
        <v>1274</v>
      </c>
      <c r="AY17" s="557">
        <f t="shared" si="31"/>
        <v>1300</v>
      </c>
      <c r="AZ17" s="557">
        <f t="shared" si="31"/>
        <v>1326</v>
      </c>
      <c r="BA17" s="557">
        <f t="shared" si="31"/>
        <v>1352</v>
      </c>
      <c r="BB17" s="557">
        <f t="shared" si="31"/>
        <v>1378</v>
      </c>
      <c r="BC17" s="557">
        <f t="shared" si="31"/>
        <v>1404</v>
      </c>
      <c r="BD17" s="557">
        <f t="shared" si="31"/>
        <v>1430</v>
      </c>
      <c r="BE17" s="557">
        <f t="shared" si="31"/>
        <v>1456</v>
      </c>
      <c r="BF17" s="557">
        <f t="shared" si="31"/>
        <v>1482</v>
      </c>
      <c r="BG17" s="557">
        <f t="shared" si="31"/>
        <v>1508</v>
      </c>
      <c r="BH17" s="557">
        <f t="shared" si="31"/>
        <v>1534</v>
      </c>
      <c r="BI17" s="557">
        <f t="shared" si="31"/>
        <v>1560</v>
      </c>
      <c r="BJ17" s="557">
        <f t="shared" si="31"/>
        <v>1586</v>
      </c>
      <c r="BK17" s="557">
        <f t="shared" si="31"/>
        <v>1612</v>
      </c>
      <c r="BL17" s="557">
        <f t="shared" si="31"/>
        <v>1638</v>
      </c>
      <c r="BM17" s="559">
        <f t="shared" si="31"/>
        <v>1664</v>
      </c>
    </row>
    <row r="18" spans="1:65" s="500" customFormat="1" ht="20.25" customHeight="1">
      <c r="A18" s="517" t="s">
        <v>50</v>
      </c>
      <c r="B18" s="518">
        <v>18</v>
      </c>
      <c r="C18" s="476" t="s">
        <v>40</v>
      </c>
      <c r="D18" s="477" t="s">
        <v>40</v>
      </c>
      <c r="E18" s="519">
        <f t="shared" ref="E18:M18" si="32">SUM($B18*E16)</f>
        <v>72</v>
      </c>
      <c r="F18" s="520">
        <f t="shared" si="32"/>
        <v>90</v>
      </c>
      <c r="G18" s="520">
        <f t="shared" si="32"/>
        <v>108</v>
      </c>
      <c r="H18" s="520">
        <f t="shared" si="32"/>
        <v>126</v>
      </c>
      <c r="I18" s="521">
        <f t="shared" si="32"/>
        <v>144</v>
      </c>
      <c r="J18" s="520">
        <f t="shared" si="32"/>
        <v>162</v>
      </c>
      <c r="K18" s="522">
        <f t="shared" si="32"/>
        <v>180</v>
      </c>
      <c r="L18" s="520">
        <f t="shared" si="32"/>
        <v>198</v>
      </c>
      <c r="M18" s="520">
        <f t="shared" si="32"/>
        <v>216</v>
      </c>
      <c r="N18" s="520">
        <f t="shared" ref="N18:AS18" si="33">SUM($B18*N16)+SUM(SUM(N16*$B37)-N37)</f>
        <v>238</v>
      </c>
      <c r="O18" s="520">
        <f t="shared" si="33"/>
        <v>264</v>
      </c>
      <c r="P18" s="520">
        <f t="shared" si="33"/>
        <v>290</v>
      </c>
      <c r="Q18" s="520">
        <f t="shared" si="33"/>
        <v>316</v>
      </c>
      <c r="R18" s="520">
        <f t="shared" si="33"/>
        <v>342</v>
      </c>
      <c r="S18" s="520">
        <f t="shared" si="33"/>
        <v>368</v>
      </c>
      <c r="T18" s="520">
        <f t="shared" si="33"/>
        <v>394</v>
      </c>
      <c r="U18" s="520">
        <f t="shared" si="33"/>
        <v>420</v>
      </c>
      <c r="V18" s="520">
        <f t="shared" si="33"/>
        <v>446</v>
      </c>
      <c r="W18" s="520">
        <f t="shared" si="33"/>
        <v>472</v>
      </c>
      <c r="X18" s="520">
        <f t="shared" si="33"/>
        <v>498</v>
      </c>
      <c r="Y18" s="520">
        <f t="shared" si="33"/>
        <v>524</v>
      </c>
      <c r="Z18" s="520">
        <f t="shared" si="33"/>
        <v>550</v>
      </c>
      <c r="AA18" s="520">
        <f t="shared" si="33"/>
        <v>576</v>
      </c>
      <c r="AB18" s="520">
        <f t="shared" si="33"/>
        <v>602</v>
      </c>
      <c r="AC18" s="520">
        <f t="shared" si="33"/>
        <v>628</v>
      </c>
      <c r="AD18" s="520">
        <f t="shared" si="33"/>
        <v>654</v>
      </c>
      <c r="AE18" s="520">
        <f t="shared" si="33"/>
        <v>680</v>
      </c>
      <c r="AF18" s="520">
        <f t="shared" si="33"/>
        <v>706</v>
      </c>
      <c r="AG18" s="520">
        <f t="shared" si="33"/>
        <v>732</v>
      </c>
      <c r="AH18" s="522">
        <f t="shared" si="33"/>
        <v>758</v>
      </c>
      <c r="AI18" s="523">
        <f t="shared" si="33"/>
        <v>784</v>
      </c>
      <c r="AJ18" s="520">
        <f t="shared" si="33"/>
        <v>810</v>
      </c>
      <c r="AK18" s="520">
        <f t="shared" si="33"/>
        <v>836</v>
      </c>
      <c r="AL18" s="520">
        <f t="shared" si="33"/>
        <v>862</v>
      </c>
      <c r="AM18" s="520">
        <f t="shared" si="33"/>
        <v>888</v>
      </c>
      <c r="AN18" s="520">
        <f t="shared" si="33"/>
        <v>914</v>
      </c>
      <c r="AO18" s="520">
        <f t="shared" si="33"/>
        <v>940</v>
      </c>
      <c r="AP18" s="520">
        <f t="shared" si="33"/>
        <v>966</v>
      </c>
      <c r="AQ18" s="520">
        <f t="shared" si="33"/>
        <v>992</v>
      </c>
      <c r="AR18" s="520">
        <f t="shared" si="33"/>
        <v>1018</v>
      </c>
      <c r="AS18" s="520">
        <f t="shared" si="33"/>
        <v>1044</v>
      </c>
      <c r="AT18" s="520">
        <f t="shared" ref="AT18:BM18" si="34">SUM($B18*AT16)+SUM(SUM(AT16*$B37)-AT37)</f>
        <v>1070</v>
      </c>
      <c r="AU18" s="520">
        <f t="shared" si="34"/>
        <v>1096</v>
      </c>
      <c r="AV18" s="520">
        <f t="shared" si="34"/>
        <v>1122</v>
      </c>
      <c r="AW18" s="520">
        <f t="shared" si="34"/>
        <v>1148</v>
      </c>
      <c r="AX18" s="522">
        <f t="shared" si="34"/>
        <v>1174</v>
      </c>
      <c r="AY18" s="523">
        <f t="shared" si="34"/>
        <v>1200</v>
      </c>
      <c r="AZ18" s="520">
        <f t="shared" si="34"/>
        <v>1226</v>
      </c>
      <c r="BA18" s="520">
        <f t="shared" si="34"/>
        <v>1252</v>
      </c>
      <c r="BB18" s="520">
        <f t="shared" si="34"/>
        <v>1278</v>
      </c>
      <c r="BC18" s="520">
        <f t="shared" si="34"/>
        <v>1304</v>
      </c>
      <c r="BD18" s="520">
        <f t="shared" si="34"/>
        <v>1330</v>
      </c>
      <c r="BE18" s="520">
        <f t="shared" si="34"/>
        <v>1356</v>
      </c>
      <c r="BF18" s="520">
        <f t="shared" si="34"/>
        <v>1382</v>
      </c>
      <c r="BG18" s="520">
        <f t="shared" si="34"/>
        <v>1408</v>
      </c>
      <c r="BH18" s="520">
        <f t="shared" si="34"/>
        <v>1434</v>
      </c>
      <c r="BI18" s="520">
        <f t="shared" si="34"/>
        <v>1460</v>
      </c>
      <c r="BJ18" s="520">
        <f t="shared" si="34"/>
        <v>1486</v>
      </c>
      <c r="BK18" s="520">
        <f t="shared" si="34"/>
        <v>1512</v>
      </c>
      <c r="BL18" s="520">
        <f t="shared" si="34"/>
        <v>1538</v>
      </c>
      <c r="BM18" s="524">
        <f t="shared" si="34"/>
        <v>1564</v>
      </c>
    </row>
    <row r="19" spans="1:65" s="45" customFormat="1" ht="15">
      <c r="A19" s="260" t="s">
        <v>79</v>
      </c>
      <c r="B19" s="261">
        <v>0.25</v>
      </c>
      <c r="C19" s="351" t="s">
        <v>40</v>
      </c>
      <c r="D19" s="352" t="s">
        <v>40</v>
      </c>
      <c r="E19" s="264">
        <f t="shared" ref="E19:AJ19" si="35">ROUND(SUM(E16*$B19),0)</f>
        <v>1</v>
      </c>
      <c r="F19" s="262">
        <f t="shared" si="35"/>
        <v>1</v>
      </c>
      <c r="G19" s="262">
        <f t="shared" si="35"/>
        <v>2</v>
      </c>
      <c r="H19" s="262">
        <f t="shared" si="35"/>
        <v>2</v>
      </c>
      <c r="I19" s="262">
        <f t="shared" si="35"/>
        <v>2</v>
      </c>
      <c r="J19" s="262">
        <f t="shared" si="35"/>
        <v>2</v>
      </c>
      <c r="K19" s="262">
        <f t="shared" si="35"/>
        <v>3</v>
      </c>
      <c r="L19" s="262">
        <f t="shared" si="35"/>
        <v>3</v>
      </c>
      <c r="M19" s="262">
        <f t="shared" si="35"/>
        <v>3</v>
      </c>
      <c r="N19" s="320">
        <f t="shared" si="35"/>
        <v>3</v>
      </c>
      <c r="O19" s="320">
        <f t="shared" si="35"/>
        <v>4</v>
      </c>
      <c r="P19" s="262">
        <f t="shared" si="35"/>
        <v>4</v>
      </c>
      <c r="Q19" s="262">
        <f t="shared" si="35"/>
        <v>4</v>
      </c>
      <c r="R19" s="262">
        <f t="shared" si="35"/>
        <v>4</v>
      </c>
      <c r="S19" s="262">
        <f t="shared" si="35"/>
        <v>5</v>
      </c>
      <c r="T19" s="262">
        <f t="shared" si="35"/>
        <v>5</v>
      </c>
      <c r="U19" s="262">
        <f t="shared" si="35"/>
        <v>5</v>
      </c>
      <c r="V19" s="262">
        <f t="shared" si="35"/>
        <v>5</v>
      </c>
      <c r="W19" s="262">
        <f t="shared" si="35"/>
        <v>6</v>
      </c>
      <c r="X19" s="262">
        <f t="shared" si="35"/>
        <v>6</v>
      </c>
      <c r="Y19" s="262">
        <f t="shared" si="35"/>
        <v>6</v>
      </c>
      <c r="Z19" s="262">
        <f t="shared" si="35"/>
        <v>6</v>
      </c>
      <c r="AA19" s="262">
        <f t="shared" si="35"/>
        <v>7</v>
      </c>
      <c r="AB19" s="262">
        <f t="shared" si="35"/>
        <v>7</v>
      </c>
      <c r="AC19" s="262">
        <f t="shared" si="35"/>
        <v>7</v>
      </c>
      <c r="AD19" s="262">
        <f t="shared" si="35"/>
        <v>7</v>
      </c>
      <c r="AE19" s="262">
        <f t="shared" si="35"/>
        <v>8</v>
      </c>
      <c r="AF19" s="262">
        <f t="shared" si="35"/>
        <v>8</v>
      </c>
      <c r="AG19" s="262">
        <f t="shared" si="35"/>
        <v>8</v>
      </c>
      <c r="AH19" s="263">
        <f t="shared" si="35"/>
        <v>8</v>
      </c>
      <c r="AI19" s="264">
        <f t="shared" si="35"/>
        <v>9</v>
      </c>
      <c r="AJ19" s="262">
        <f t="shared" si="35"/>
        <v>9</v>
      </c>
      <c r="AK19" s="262">
        <f t="shared" ref="AK19:BM19" si="36">ROUND(SUM(AK16*$B19),0)</f>
        <v>9</v>
      </c>
      <c r="AL19" s="262">
        <f t="shared" si="36"/>
        <v>9</v>
      </c>
      <c r="AM19" s="262">
        <f t="shared" si="36"/>
        <v>10</v>
      </c>
      <c r="AN19" s="262">
        <f t="shared" si="36"/>
        <v>10</v>
      </c>
      <c r="AO19" s="262">
        <f t="shared" si="36"/>
        <v>10</v>
      </c>
      <c r="AP19" s="262">
        <f t="shared" si="36"/>
        <v>10</v>
      </c>
      <c r="AQ19" s="262">
        <f t="shared" si="36"/>
        <v>11</v>
      </c>
      <c r="AR19" s="262">
        <f t="shared" si="36"/>
        <v>11</v>
      </c>
      <c r="AS19" s="262">
        <f t="shared" si="36"/>
        <v>11</v>
      </c>
      <c r="AT19" s="262">
        <f t="shared" si="36"/>
        <v>11</v>
      </c>
      <c r="AU19" s="262">
        <f t="shared" si="36"/>
        <v>12</v>
      </c>
      <c r="AV19" s="262">
        <f t="shared" si="36"/>
        <v>12</v>
      </c>
      <c r="AW19" s="262">
        <f t="shared" si="36"/>
        <v>12</v>
      </c>
      <c r="AX19" s="263">
        <f t="shared" si="36"/>
        <v>12</v>
      </c>
      <c r="AY19" s="264">
        <f t="shared" si="36"/>
        <v>13</v>
      </c>
      <c r="AZ19" s="262">
        <f t="shared" si="36"/>
        <v>13</v>
      </c>
      <c r="BA19" s="262">
        <f t="shared" si="36"/>
        <v>13</v>
      </c>
      <c r="BB19" s="262">
        <f t="shared" si="36"/>
        <v>13</v>
      </c>
      <c r="BC19" s="262">
        <f t="shared" si="36"/>
        <v>14</v>
      </c>
      <c r="BD19" s="262">
        <f t="shared" si="36"/>
        <v>14</v>
      </c>
      <c r="BE19" s="262">
        <f t="shared" si="36"/>
        <v>14</v>
      </c>
      <c r="BF19" s="262">
        <f t="shared" si="36"/>
        <v>14</v>
      </c>
      <c r="BG19" s="262">
        <f t="shared" si="36"/>
        <v>15</v>
      </c>
      <c r="BH19" s="262">
        <f t="shared" si="36"/>
        <v>15</v>
      </c>
      <c r="BI19" s="262">
        <f t="shared" si="36"/>
        <v>15</v>
      </c>
      <c r="BJ19" s="262">
        <f t="shared" si="36"/>
        <v>15</v>
      </c>
      <c r="BK19" s="262">
        <f t="shared" si="36"/>
        <v>16</v>
      </c>
      <c r="BL19" s="262">
        <f t="shared" si="36"/>
        <v>16</v>
      </c>
      <c r="BM19" s="323">
        <f t="shared" si="36"/>
        <v>16</v>
      </c>
    </row>
    <row r="20" spans="1:65" s="5" customFormat="1" ht="14.25" customHeight="1">
      <c r="A20" s="653" t="s">
        <v>51</v>
      </c>
      <c r="B20" s="413" t="s">
        <v>41</v>
      </c>
      <c r="C20" s="343" t="s">
        <v>40</v>
      </c>
      <c r="D20" s="344" t="s">
        <v>40</v>
      </c>
      <c r="E20" s="396">
        <f>SUM(E18*1)</f>
        <v>72</v>
      </c>
      <c r="F20" s="397">
        <f>SUM(F18*1)</f>
        <v>90</v>
      </c>
      <c r="G20" s="397">
        <f>ROUND(SUM(G18*0.6666666),2)</f>
        <v>72</v>
      </c>
      <c r="H20" s="397">
        <f>ROUND(SUM(H18*0.6666666),2)</f>
        <v>84</v>
      </c>
      <c r="I20" s="397">
        <f>ROUND(SUM(I18*0.6666666),2)</f>
        <v>96</v>
      </c>
      <c r="J20" s="397">
        <f>ROUND(SUM(J18*0.6666666),2)</f>
        <v>108</v>
      </c>
      <c r="K20" s="390">
        <f>SUM(K18*0.5)</f>
        <v>90</v>
      </c>
      <c r="L20" s="390">
        <f>SUM(L18*0.5)</f>
        <v>99</v>
      </c>
      <c r="M20" s="390">
        <f>SUM(M18*0.5)</f>
        <v>108</v>
      </c>
      <c r="N20" s="391">
        <f>SUM(N18*0.5)</f>
        <v>119</v>
      </c>
      <c r="O20" s="393">
        <f>ROUND((SUM(O18/O36)*0.6666666666666),2)</f>
        <v>88</v>
      </c>
      <c r="P20" s="390">
        <f>ROUND((SUM(P18/P36)*0.6666666666666),2)</f>
        <v>96.67</v>
      </c>
      <c r="Q20" s="390">
        <f>ROUND((SUM(Q18/Q36)*0.6666666666666),2)</f>
        <v>105.33</v>
      </c>
      <c r="R20" s="390">
        <f>ROUND((SUM(R18/R36)*0.6666666666666),2)</f>
        <v>114</v>
      </c>
      <c r="S20" s="390">
        <f t="shared" ref="S20:AA20" si="37">ROUND(SUM((S18/S36)*0.5),2)</f>
        <v>92</v>
      </c>
      <c r="T20" s="390">
        <f t="shared" si="37"/>
        <v>98.5</v>
      </c>
      <c r="U20" s="390">
        <f t="shared" si="37"/>
        <v>105</v>
      </c>
      <c r="V20" s="390">
        <f t="shared" si="37"/>
        <v>111.5</v>
      </c>
      <c r="W20" s="390">
        <f t="shared" si="37"/>
        <v>118</v>
      </c>
      <c r="X20" s="390">
        <f t="shared" si="37"/>
        <v>124.5</v>
      </c>
      <c r="Y20" s="398">
        <f t="shared" si="37"/>
        <v>131</v>
      </c>
      <c r="Z20" s="398">
        <f t="shared" si="37"/>
        <v>137.5</v>
      </c>
      <c r="AA20" s="398">
        <f t="shared" si="37"/>
        <v>144</v>
      </c>
      <c r="AB20" s="398">
        <f t="shared" ref="AB20:AH20" si="38">ROUND(SUM((AB18/AB36)*0.4),2)</f>
        <v>120.4</v>
      </c>
      <c r="AC20" s="398">
        <f t="shared" si="38"/>
        <v>125.6</v>
      </c>
      <c r="AD20" s="398">
        <f t="shared" si="38"/>
        <v>130.80000000000001</v>
      </c>
      <c r="AE20" s="398">
        <f t="shared" si="38"/>
        <v>136</v>
      </c>
      <c r="AF20" s="398">
        <f t="shared" si="38"/>
        <v>141.19999999999999</v>
      </c>
      <c r="AG20" s="398">
        <f t="shared" si="38"/>
        <v>146.4</v>
      </c>
      <c r="AH20" s="399">
        <f t="shared" si="38"/>
        <v>151.6</v>
      </c>
      <c r="AI20" s="393">
        <f>ROUND(SUM((AI18/AI36)*0.5),2)</f>
        <v>130.66999999999999</v>
      </c>
      <c r="AJ20" s="398">
        <f>ROUND(SUM((AJ18/AJ36)*0.5),2)</f>
        <v>135</v>
      </c>
      <c r="AK20" s="398">
        <f>ROUND(SUM((AK18/AK36)*0.5),2)</f>
        <v>139.33000000000001</v>
      </c>
      <c r="AL20" s="390">
        <f>ROUND(SUM((AL18/AL36)*0.5),2)</f>
        <v>143.66999999999999</v>
      </c>
      <c r="AM20" s="390">
        <f>ROUND(SUM((AM18/AM36)*0.5),2)</f>
        <v>148</v>
      </c>
      <c r="AN20" s="398">
        <f t="shared" ref="AN20:BM20" si="39">ROUND(SUM((AN18/AN36)*0.4),2)</f>
        <v>121.87</v>
      </c>
      <c r="AO20" s="398">
        <f t="shared" si="39"/>
        <v>125.33</v>
      </c>
      <c r="AP20" s="398">
        <f t="shared" si="39"/>
        <v>128.80000000000001</v>
      </c>
      <c r="AQ20" s="398">
        <f t="shared" si="39"/>
        <v>132.27000000000001</v>
      </c>
      <c r="AR20" s="398">
        <f t="shared" si="39"/>
        <v>135.72999999999999</v>
      </c>
      <c r="AS20" s="398">
        <f t="shared" si="39"/>
        <v>139.19999999999999</v>
      </c>
      <c r="AT20" s="398">
        <f t="shared" si="39"/>
        <v>142.66999999999999</v>
      </c>
      <c r="AU20" s="398">
        <f t="shared" si="39"/>
        <v>146.13</v>
      </c>
      <c r="AV20" s="398">
        <f t="shared" si="39"/>
        <v>149.6</v>
      </c>
      <c r="AW20" s="390">
        <f t="shared" si="39"/>
        <v>153.07</v>
      </c>
      <c r="AX20" s="391">
        <f t="shared" si="39"/>
        <v>156.53</v>
      </c>
      <c r="AY20" s="389">
        <f t="shared" si="39"/>
        <v>120</v>
      </c>
      <c r="AZ20" s="398">
        <f t="shared" si="39"/>
        <v>122.6</v>
      </c>
      <c r="BA20" s="398">
        <f t="shared" si="39"/>
        <v>125.2</v>
      </c>
      <c r="BB20" s="398">
        <f t="shared" si="39"/>
        <v>127.8</v>
      </c>
      <c r="BC20" s="398">
        <f t="shared" si="39"/>
        <v>130.4</v>
      </c>
      <c r="BD20" s="398">
        <f t="shared" si="39"/>
        <v>133</v>
      </c>
      <c r="BE20" s="398">
        <f t="shared" si="39"/>
        <v>135.6</v>
      </c>
      <c r="BF20" s="398">
        <f t="shared" si="39"/>
        <v>138.19999999999999</v>
      </c>
      <c r="BG20" s="398">
        <f t="shared" si="39"/>
        <v>140.80000000000001</v>
      </c>
      <c r="BH20" s="398">
        <f t="shared" si="39"/>
        <v>143.4</v>
      </c>
      <c r="BI20" s="398">
        <f t="shared" si="39"/>
        <v>146</v>
      </c>
      <c r="BJ20" s="398">
        <f t="shared" si="39"/>
        <v>148.6</v>
      </c>
      <c r="BK20" s="398">
        <f t="shared" si="39"/>
        <v>151.19999999999999</v>
      </c>
      <c r="BL20" s="398">
        <f t="shared" si="39"/>
        <v>153.80000000000001</v>
      </c>
      <c r="BM20" s="400">
        <f t="shared" si="39"/>
        <v>156.4</v>
      </c>
    </row>
    <row r="21" spans="1:65" s="5" customFormat="1" ht="14.25" customHeight="1">
      <c r="A21" s="651"/>
      <c r="B21" s="414" t="s">
        <v>42</v>
      </c>
      <c r="C21" s="345" t="s">
        <v>40</v>
      </c>
      <c r="D21" s="346" t="s">
        <v>40</v>
      </c>
      <c r="E21" s="338"/>
      <c r="F21" s="276"/>
      <c r="G21" s="306">
        <f>ROUND(SUM(G18*0.333333),2)</f>
        <v>36</v>
      </c>
      <c r="H21" s="306">
        <f>ROUND(SUM(H18*0.333333),2)</f>
        <v>42</v>
      </c>
      <c r="I21" s="306">
        <f>ROUND(SUM(I18*0.333333),2)</f>
        <v>48</v>
      </c>
      <c r="J21" s="306">
        <f>ROUND(SUM(J18*0.333333),2)</f>
        <v>54</v>
      </c>
      <c r="K21" s="265">
        <f>SUM(K18*0.3)</f>
        <v>54</v>
      </c>
      <c r="L21" s="265">
        <f>SUM(L18*0.3)</f>
        <v>59.4</v>
      </c>
      <c r="M21" s="265">
        <f>SUM(M18*0.3)</f>
        <v>64.8</v>
      </c>
      <c r="N21" s="308">
        <f>SUM(N18*0.3)</f>
        <v>71.399999999999991</v>
      </c>
      <c r="O21" s="257">
        <f>ROUND((SUM(O18/O36)*0.333333333333333),2)</f>
        <v>44</v>
      </c>
      <c r="P21" s="265">
        <f>ROUND((SUM(P18/P36)*0.333333333333333),2)</f>
        <v>48.33</v>
      </c>
      <c r="Q21" s="265">
        <f>ROUND((SUM(Q18/Q36)*0.333333333333333),2)</f>
        <v>52.67</v>
      </c>
      <c r="R21" s="265">
        <f>ROUND((SUM(R18/R36)*0.333333333333333),2)</f>
        <v>57</v>
      </c>
      <c r="S21" s="265">
        <f t="shared" ref="S21:BM21" si="40">ROUND(SUM((S$18/S36)*0.3),2)</f>
        <v>55.2</v>
      </c>
      <c r="T21" s="265">
        <f t="shared" si="40"/>
        <v>59.1</v>
      </c>
      <c r="U21" s="265">
        <f t="shared" si="40"/>
        <v>63</v>
      </c>
      <c r="V21" s="265">
        <f t="shared" si="40"/>
        <v>66.900000000000006</v>
      </c>
      <c r="W21" s="265">
        <f t="shared" si="40"/>
        <v>70.8</v>
      </c>
      <c r="X21" s="265">
        <f t="shared" si="40"/>
        <v>74.7</v>
      </c>
      <c r="Y21" s="265">
        <f t="shared" si="40"/>
        <v>78.599999999999994</v>
      </c>
      <c r="Z21" s="265">
        <f t="shared" si="40"/>
        <v>82.5</v>
      </c>
      <c r="AA21" s="265">
        <f t="shared" si="40"/>
        <v>86.4</v>
      </c>
      <c r="AB21" s="265">
        <f t="shared" si="40"/>
        <v>90.3</v>
      </c>
      <c r="AC21" s="144">
        <f t="shared" si="40"/>
        <v>94.2</v>
      </c>
      <c r="AD21" s="144">
        <f t="shared" si="40"/>
        <v>98.1</v>
      </c>
      <c r="AE21" s="144">
        <f t="shared" si="40"/>
        <v>102</v>
      </c>
      <c r="AF21" s="144">
        <f t="shared" si="40"/>
        <v>105.9</v>
      </c>
      <c r="AG21" s="144">
        <f t="shared" si="40"/>
        <v>109.8</v>
      </c>
      <c r="AH21" s="300">
        <f t="shared" si="40"/>
        <v>113.7</v>
      </c>
      <c r="AI21" s="257">
        <f t="shared" si="40"/>
        <v>78.400000000000006</v>
      </c>
      <c r="AJ21" s="144">
        <f t="shared" si="40"/>
        <v>81</v>
      </c>
      <c r="AK21" s="144">
        <f t="shared" si="40"/>
        <v>83.6</v>
      </c>
      <c r="AL21" s="265">
        <f t="shared" si="40"/>
        <v>86.2</v>
      </c>
      <c r="AM21" s="265">
        <f t="shared" si="40"/>
        <v>88.8</v>
      </c>
      <c r="AN21" s="144">
        <f t="shared" si="40"/>
        <v>91.4</v>
      </c>
      <c r="AO21" s="144">
        <f t="shared" si="40"/>
        <v>94</v>
      </c>
      <c r="AP21" s="144">
        <f t="shared" si="40"/>
        <v>96.6</v>
      </c>
      <c r="AQ21" s="144">
        <f t="shared" si="40"/>
        <v>99.2</v>
      </c>
      <c r="AR21" s="144">
        <f t="shared" si="40"/>
        <v>101.8</v>
      </c>
      <c r="AS21" s="144">
        <f t="shared" si="40"/>
        <v>104.4</v>
      </c>
      <c r="AT21" s="144">
        <f t="shared" si="40"/>
        <v>107</v>
      </c>
      <c r="AU21" s="144">
        <f t="shared" si="40"/>
        <v>109.6</v>
      </c>
      <c r="AV21" s="144">
        <f t="shared" si="40"/>
        <v>112.2</v>
      </c>
      <c r="AW21" s="265">
        <f t="shared" si="40"/>
        <v>114.8</v>
      </c>
      <c r="AX21" s="308">
        <f t="shared" si="40"/>
        <v>117.4</v>
      </c>
      <c r="AY21" s="132">
        <f t="shared" si="40"/>
        <v>90</v>
      </c>
      <c r="AZ21" s="144">
        <f t="shared" si="40"/>
        <v>91.95</v>
      </c>
      <c r="BA21" s="144">
        <f t="shared" si="40"/>
        <v>93.9</v>
      </c>
      <c r="BB21" s="144">
        <f t="shared" si="40"/>
        <v>95.85</v>
      </c>
      <c r="BC21" s="144">
        <f t="shared" si="40"/>
        <v>97.8</v>
      </c>
      <c r="BD21" s="144">
        <f t="shared" si="40"/>
        <v>99.75</v>
      </c>
      <c r="BE21" s="144">
        <f t="shared" si="40"/>
        <v>101.7</v>
      </c>
      <c r="BF21" s="144">
        <f t="shared" si="40"/>
        <v>103.65</v>
      </c>
      <c r="BG21" s="144">
        <f t="shared" si="40"/>
        <v>105.6</v>
      </c>
      <c r="BH21" s="144">
        <f t="shared" si="40"/>
        <v>107.55</v>
      </c>
      <c r="BI21" s="144">
        <f t="shared" si="40"/>
        <v>109.5</v>
      </c>
      <c r="BJ21" s="144">
        <f t="shared" si="40"/>
        <v>111.45</v>
      </c>
      <c r="BK21" s="144">
        <f t="shared" si="40"/>
        <v>113.4</v>
      </c>
      <c r="BL21" s="144">
        <f t="shared" si="40"/>
        <v>115.35</v>
      </c>
      <c r="BM21" s="266">
        <f t="shared" si="40"/>
        <v>117.3</v>
      </c>
    </row>
    <row r="22" spans="1:65" s="5" customFormat="1" ht="14.25" customHeight="1">
      <c r="A22" s="651"/>
      <c r="B22" s="415" t="s">
        <v>52</v>
      </c>
      <c r="C22" s="345" t="s">
        <v>40</v>
      </c>
      <c r="D22" s="346" t="s">
        <v>40</v>
      </c>
      <c r="E22" s="338"/>
      <c r="F22" s="276"/>
      <c r="G22" s="276"/>
      <c r="H22" s="276"/>
      <c r="I22" s="276"/>
      <c r="J22" s="276"/>
      <c r="K22" s="265">
        <f>SUM(K18*0.2)</f>
        <v>36</v>
      </c>
      <c r="L22" s="265">
        <f>SUM(L18*0.2)</f>
        <v>39.6</v>
      </c>
      <c r="M22" s="265">
        <f>SUM(M18*0.2)</f>
        <v>43.2</v>
      </c>
      <c r="N22" s="308">
        <f>SUM(N18*0.2)</f>
        <v>47.6</v>
      </c>
      <c r="O22" s="318"/>
      <c r="P22" s="299"/>
      <c r="Q22" s="299"/>
      <c r="R22" s="299"/>
      <c r="S22" s="265">
        <f t="shared" ref="S22:BM22" si="41">ROUND(SUM((S$18/S36)*0.2),2)</f>
        <v>36.799999999999997</v>
      </c>
      <c r="T22" s="265">
        <f t="shared" si="41"/>
        <v>39.4</v>
      </c>
      <c r="U22" s="265">
        <f t="shared" si="41"/>
        <v>42</v>
      </c>
      <c r="V22" s="265">
        <f t="shared" si="41"/>
        <v>44.6</v>
      </c>
      <c r="W22" s="265">
        <f t="shared" si="41"/>
        <v>47.2</v>
      </c>
      <c r="X22" s="265">
        <f t="shared" si="41"/>
        <v>49.8</v>
      </c>
      <c r="Y22" s="265">
        <f t="shared" si="41"/>
        <v>52.4</v>
      </c>
      <c r="Z22" s="265">
        <f t="shared" si="41"/>
        <v>55</v>
      </c>
      <c r="AA22" s="265">
        <f t="shared" si="41"/>
        <v>57.6</v>
      </c>
      <c r="AB22" s="265">
        <f t="shared" si="41"/>
        <v>60.2</v>
      </c>
      <c r="AC22" s="144">
        <f t="shared" si="41"/>
        <v>62.8</v>
      </c>
      <c r="AD22" s="144">
        <f t="shared" si="41"/>
        <v>65.400000000000006</v>
      </c>
      <c r="AE22" s="144">
        <f t="shared" si="41"/>
        <v>68</v>
      </c>
      <c r="AF22" s="144">
        <f t="shared" si="41"/>
        <v>70.599999999999994</v>
      </c>
      <c r="AG22" s="265">
        <f t="shared" si="41"/>
        <v>73.2</v>
      </c>
      <c r="AH22" s="300">
        <f t="shared" si="41"/>
        <v>75.8</v>
      </c>
      <c r="AI22" s="257">
        <f t="shared" si="41"/>
        <v>52.27</v>
      </c>
      <c r="AJ22" s="265">
        <f t="shared" si="41"/>
        <v>54</v>
      </c>
      <c r="AK22" s="265">
        <f t="shared" si="41"/>
        <v>55.73</v>
      </c>
      <c r="AL22" s="265">
        <f t="shared" si="41"/>
        <v>57.47</v>
      </c>
      <c r="AM22" s="265">
        <f t="shared" si="41"/>
        <v>59.2</v>
      </c>
      <c r="AN22" s="265">
        <f t="shared" si="41"/>
        <v>60.93</v>
      </c>
      <c r="AO22" s="144">
        <f t="shared" si="41"/>
        <v>62.67</v>
      </c>
      <c r="AP22" s="144">
        <f t="shared" si="41"/>
        <v>64.400000000000006</v>
      </c>
      <c r="AQ22" s="144">
        <f t="shared" si="41"/>
        <v>66.13</v>
      </c>
      <c r="AR22" s="144">
        <f t="shared" si="41"/>
        <v>67.87</v>
      </c>
      <c r="AS22" s="144">
        <f t="shared" si="41"/>
        <v>69.599999999999994</v>
      </c>
      <c r="AT22" s="144">
        <f t="shared" si="41"/>
        <v>71.33</v>
      </c>
      <c r="AU22" s="144">
        <f t="shared" si="41"/>
        <v>73.069999999999993</v>
      </c>
      <c r="AV22" s="144">
        <f t="shared" si="41"/>
        <v>74.8</v>
      </c>
      <c r="AW22" s="265">
        <f t="shared" si="41"/>
        <v>76.53</v>
      </c>
      <c r="AX22" s="308">
        <f t="shared" si="41"/>
        <v>78.27</v>
      </c>
      <c r="AY22" s="132">
        <f t="shared" si="41"/>
        <v>60</v>
      </c>
      <c r="AZ22" s="144">
        <f t="shared" si="41"/>
        <v>61.3</v>
      </c>
      <c r="BA22" s="144">
        <f t="shared" si="41"/>
        <v>62.6</v>
      </c>
      <c r="BB22" s="144">
        <f t="shared" si="41"/>
        <v>63.9</v>
      </c>
      <c r="BC22" s="144">
        <f t="shared" si="41"/>
        <v>65.2</v>
      </c>
      <c r="BD22" s="144">
        <f t="shared" si="41"/>
        <v>66.5</v>
      </c>
      <c r="BE22" s="144">
        <f t="shared" si="41"/>
        <v>67.8</v>
      </c>
      <c r="BF22" s="144">
        <f t="shared" si="41"/>
        <v>69.099999999999994</v>
      </c>
      <c r="BG22" s="144">
        <f t="shared" si="41"/>
        <v>70.400000000000006</v>
      </c>
      <c r="BH22" s="144">
        <f t="shared" si="41"/>
        <v>71.7</v>
      </c>
      <c r="BI22" s="144">
        <f t="shared" si="41"/>
        <v>73</v>
      </c>
      <c r="BJ22" s="144">
        <f t="shared" si="41"/>
        <v>74.3</v>
      </c>
      <c r="BK22" s="144">
        <f t="shared" si="41"/>
        <v>75.599999999999994</v>
      </c>
      <c r="BL22" s="144">
        <f t="shared" si="41"/>
        <v>76.900000000000006</v>
      </c>
      <c r="BM22" s="266">
        <f t="shared" si="41"/>
        <v>78.2</v>
      </c>
    </row>
    <row r="23" spans="1:65" s="5" customFormat="1" ht="14.25" customHeight="1">
      <c r="A23" s="652"/>
      <c r="B23" s="416" t="s">
        <v>80</v>
      </c>
      <c r="C23" s="347" t="s">
        <v>40</v>
      </c>
      <c r="D23" s="348" t="s">
        <v>40</v>
      </c>
      <c r="E23" s="339"/>
      <c r="F23" s="285"/>
      <c r="G23" s="285"/>
      <c r="H23" s="285"/>
      <c r="I23" s="285"/>
      <c r="J23" s="285"/>
      <c r="K23" s="268"/>
      <c r="L23" s="268"/>
      <c r="M23" s="268"/>
      <c r="N23" s="315"/>
      <c r="O23" s="319"/>
      <c r="P23" s="302"/>
      <c r="Q23" s="302"/>
      <c r="R23" s="302"/>
      <c r="S23" s="268"/>
      <c r="T23" s="268"/>
      <c r="U23" s="268"/>
      <c r="V23" s="268"/>
      <c r="W23" s="268"/>
      <c r="X23" s="268"/>
      <c r="Y23" s="268"/>
      <c r="Z23" s="268"/>
      <c r="AA23" s="268"/>
      <c r="AB23" s="270">
        <f t="shared" ref="AB23:AH23" si="42">ROUND(SUM((AB$18/AB36)*0.1),2)</f>
        <v>30.1</v>
      </c>
      <c r="AC23" s="269">
        <f t="shared" si="42"/>
        <v>31.4</v>
      </c>
      <c r="AD23" s="269">
        <f t="shared" si="42"/>
        <v>32.700000000000003</v>
      </c>
      <c r="AE23" s="269">
        <f t="shared" si="42"/>
        <v>34</v>
      </c>
      <c r="AF23" s="269">
        <f t="shared" si="42"/>
        <v>35.299999999999997</v>
      </c>
      <c r="AG23" s="270">
        <f t="shared" si="42"/>
        <v>36.6</v>
      </c>
      <c r="AH23" s="303">
        <f t="shared" si="42"/>
        <v>37.9</v>
      </c>
      <c r="AI23" s="267"/>
      <c r="AJ23" s="268"/>
      <c r="AK23" s="268"/>
      <c r="AL23" s="268"/>
      <c r="AM23" s="268"/>
      <c r="AN23" s="270">
        <f t="shared" ref="AN23:BM23" si="43">ROUND(SUM((AN$18/AN36)*0.1),2)</f>
        <v>30.47</v>
      </c>
      <c r="AO23" s="270">
        <f t="shared" si="43"/>
        <v>31.33</v>
      </c>
      <c r="AP23" s="270">
        <f t="shared" si="43"/>
        <v>32.200000000000003</v>
      </c>
      <c r="AQ23" s="145">
        <f t="shared" si="43"/>
        <v>33.07</v>
      </c>
      <c r="AR23" s="145">
        <f t="shared" si="43"/>
        <v>33.93</v>
      </c>
      <c r="AS23" s="145">
        <f t="shared" si="43"/>
        <v>34.799999999999997</v>
      </c>
      <c r="AT23" s="145">
        <f t="shared" si="43"/>
        <v>35.67</v>
      </c>
      <c r="AU23" s="145">
        <f t="shared" si="43"/>
        <v>36.53</v>
      </c>
      <c r="AV23" s="145">
        <f t="shared" si="43"/>
        <v>37.4</v>
      </c>
      <c r="AW23" s="310">
        <f t="shared" si="43"/>
        <v>38.270000000000003</v>
      </c>
      <c r="AX23" s="321">
        <f t="shared" si="43"/>
        <v>39.130000000000003</v>
      </c>
      <c r="AY23" s="133">
        <f t="shared" si="43"/>
        <v>30</v>
      </c>
      <c r="AZ23" s="145">
        <f t="shared" si="43"/>
        <v>30.65</v>
      </c>
      <c r="BA23" s="145">
        <f t="shared" si="43"/>
        <v>31.3</v>
      </c>
      <c r="BB23" s="145">
        <f t="shared" si="43"/>
        <v>31.95</v>
      </c>
      <c r="BC23" s="145">
        <f t="shared" si="43"/>
        <v>32.6</v>
      </c>
      <c r="BD23" s="145">
        <f t="shared" si="43"/>
        <v>33.25</v>
      </c>
      <c r="BE23" s="145">
        <f t="shared" si="43"/>
        <v>33.9</v>
      </c>
      <c r="BF23" s="145">
        <f t="shared" si="43"/>
        <v>34.549999999999997</v>
      </c>
      <c r="BG23" s="145">
        <f t="shared" si="43"/>
        <v>35.200000000000003</v>
      </c>
      <c r="BH23" s="145">
        <f t="shared" si="43"/>
        <v>35.85</v>
      </c>
      <c r="BI23" s="145">
        <f t="shared" si="43"/>
        <v>36.5</v>
      </c>
      <c r="BJ23" s="145">
        <f t="shared" si="43"/>
        <v>37.15</v>
      </c>
      <c r="BK23" s="145">
        <f t="shared" si="43"/>
        <v>37.799999999999997</v>
      </c>
      <c r="BL23" s="145">
        <f t="shared" si="43"/>
        <v>38.450000000000003</v>
      </c>
      <c r="BM23" s="271">
        <f t="shared" si="43"/>
        <v>39.1</v>
      </c>
    </row>
    <row r="24" spans="1:65" s="5" customFormat="1" ht="14.25" customHeight="1">
      <c r="A24" s="650" t="s">
        <v>53</v>
      </c>
      <c r="B24" s="413" t="s">
        <v>41</v>
      </c>
      <c r="C24" s="349" t="s">
        <v>40</v>
      </c>
      <c r="D24" s="350" t="s">
        <v>40</v>
      </c>
      <c r="E24" s="401"/>
      <c r="F24" s="402"/>
      <c r="G24" s="305"/>
      <c r="H24" s="305"/>
      <c r="I24" s="305"/>
      <c r="J24" s="305"/>
      <c r="K24" s="305"/>
      <c r="L24" s="305"/>
      <c r="M24" s="305"/>
      <c r="N24" s="325"/>
      <c r="O24" s="393">
        <f t="shared" ref="O24:AT24" si="44">O20</f>
        <v>88</v>
      </c>
      <c r="P24" s="403">
        <f t="shared" si="44"/>
        <v>96.67</v>
      </c>
      <c r="Q24" s="403">
        <f t="shared" si="44"/>
        <v>105.33</v>
      </c>
      <c r="R24" s="403">
        <f t="shared" si="44"/>
        <v>114</v>
      </c>
      <c r="S24" s="403">
        <f t="shared" si="44"/>
        <v>92</v>
      </c>
      <c r="T24" s="403">
        <f t="shared" si="44"/>
        <v>98.5</v>
      </c>
      <c r="U24" s="403">
        <f t="shared" si="44"/>
        <v>105</v>
      </c>
      <c r="V24" s="403">
        <f t="shared" si="44"/>
        <v>111.5</v>
      </c>
      <c r="W24" s="403">
        <f t="shared" si="44"/>
        <v>118</v>
      </c>
      <c r="X24" s="403">
        <f t="shared" si="44"/>
        <v>124.5</v>
      </c>
      <c r="Y24" s="403">
        <f t="shared" si="44"/>
        <v>131</v>
      </c>
      <c r="Z24" s="403">
        <f t="shared" si="44"/>
        <v>137.5</v>
      </c>
      <c r="AA24" s="403">
        <f t="shared" si="44"/>
        <v>144</v>
      </c>
      <c r="AB24" s="403">
        <f t="shared" si="44"/>
        <v>120.4</v>
      </c>
      <c r="AC24" s="404">
        <f t="shared" si="44"/>
        <v>125.6</v>
      </c>
      <c r="AD24" s="404">
        <f t="shared" si="44"/>
        <v>130.80000000000001</v>
      </c>
      <c r="AE24" s="404">
        <f t="shared" si="44"/>
        <v>136</v>
      </c>
      <c r="AF24" s="404">
        <f t="shared" si="44"/>
        <v>141.19999999999999</v>
      </c>
      <c r="AG24" s="404">
        <f t="shared" si="44"/>
        <v>146.4</v>
      </c>
      <c r="AH24" s="399">
        <f t="shared" si="44"/>
        <v>151.6</v>
      </c>
      <c r="AI24" s="393">
        <f t="shared" si="44"/>
        <v>130.66999999999999</v>
      </c>
      <c r="AJ24" s="398">
        <f t="shared" si="44"/>
        <v>135</v>
      </c>
      <c r="AK24" s="398">
        <f t="shared" si="44"/>
        <v>139.33000000000001</v>
      </c>
      <c r="AL24" s="390">
        <f t="shared" si="44"/>
        <v>143.66999999999999</v>
      </c>
      <c r="AM24" s="390">
        <f t="shared" si="44"/>
        <v>148</v>
      </c>
      <c r="AN24" s="398">
        <f t="shared" si="44"/>
        <v>121.87</v>
      </c>
      <c r="AO24" s="398">
        <f t="shared" si="44"/>
        <v>125.33</v>
      </c>
      <c r="AP24" s="398">
        <f t="shared" si="44"/>
        <v>128.80000000000001</v>
      </c>
      <c r="AQ24" s="398">
        <f t="shared" si="44"/>
        <v>132.27000000000001</v>
      </c>
      <c r="AR24" s="398">
        <f t="shared" si="44"/>
        <v>135.72999999999999</v>
      </c>
      <c r="AS24" s="398">
        <f t="shared" si="44"/>
        <v>139.19999999999999</v>
      </c>
      <c r="AT24" s="398">
        <f t="shared" si="44"/>
        <v>142.66999999999999</v>
      </c>
      <c r="AU24" s="398">
        <f t="shared" ref="AU24:BM24" si="45">AU20</f>
        <v>146.13</v>
      </c>
      <c r="AV24" s="398">
        <f t="shared" si="45"/>
        <v>149.6</v>
      </c>
      <c r="AW24" s="390">
        <f t="shared" si="45"/>
        <v>153.07</v>
      </c>
      <c r="AX24" s="391">
        <f t="shared" si="45"/>
        <v>156.53</v>
      </c>
      <c r="AY24" s="389">
        <f t="shared" si="45"/>
        <v>120</v>
      </c>
      <c r="AZ24" s="398">
        <f t="shared" si="45"/>
        <v>122.6</v>
      </c>
      <c r="BA24" s="398">
        <f t="shared" si="45"/>
        <v>125.2</v>
      </c>
      <c r="BB24" s="398">
        <f t="shared" si="45"/>
        <v>127.8</v>
      </c>
      <c r="BC24" s="398">
        <f t="shared" si="45"/>
        <v>130.4</v>
      </c>
      <c r="BD24" s="398">
        <f t="shared" si="45"/>
        <v>133</v>
      </c>
      <c r="BE24" s="398">
        <f t="shared" si="45"/>
        <v>135.6</v>
      </c>
      <c r="BF24" s="398">
        <f t="shared" si="45"/>
        <v>138.19999999999999</v>
      </c>
      <c r="BG24" s="398">
        <f t="shared" si="45"/>
        <v>140.80000000000001</v>
      </c>
      <c r="BH24" s="398">
        <f t="shared" si="45"/>
        <v>143.4</v>
      </c>
      <c r="BI24" s="398">
        <f t="shared" si="45"/>
        <v>146</v>
      </c>
      <c r="BJ24" s="398">
        <f t="shared" si="45"/>
        <v>148.6</v>
      </c>
      <c r="BK24" s="398">
        <f t="shared" si="45"/>
        <v>151.19999999999999</v>
      </c>
      <c r="BL24" s="398">
        <f t="shared" si="45"/>
        <v>153.80000000000001</v>
      </c>
      <c r="BM24" s="400">
        <f t="shared" si="45"/>
        <v>156.4</v>
      </c>
    </row>
    <row r="25" spans="1:65" s="5" customFormat="1" ht="14.25" customHeight="1">
      <c r="A25" s="651"/>
      <c r="B25" s="414" t="s">
        <v>42</v>
      </c>
      <c r="C25" s="345" t="s">
        <v>40</v>
      </c>
      <c r="D25" s="346" t="s">
        <v>40</v>
      </c>
      <c r="E25" s="338"/>
      <c r="F25" s="276"/>
      <c r="G25" s="298"/>
      <c r="H25" s="298"/>
      <c r="I25" s="298"/>
      <c r="J25" s="298"/>
      <c r="K25" s="298"/>
      <c r="L25" s="298"/>
      <c r="M25" s="298"/>
      <c r="N25" s="316"/>
      <c r="O25" s="257">
        <f t="shared" ref="O25:AT25" si="46">O21</f>
        <v>44</v>
      </c>
      <c r="P25" s="265">
        <f t="shared" si="46"/>
        <v>48.33</v>
      </c>
      <c r="Q25" s="265">
        <f t="shared" si="46"/>
        <v>52.67</v>
      </c>
      <c r="R25" s="265">
        <f t="shared" si="46"/>
        <v>57</v>
      </c>
      <c r="S25" s="265">
        <f t="shared" si="46"/>
        <v>55.2</v>
      </c>
      <c r="T25" s="265">
        <f t="shared" si="46"/>
        <v>59.1</v>
      </c>
      <c r="U25" s="265">
        <f t="shared" si="46"/>
        <v>63</v>
      </c>
      <c r="V25" s="265">
        <f t="shared" si="46"/>
        <v>66.900000000000006</v>
      </c>
      <c r="W25" s="265">
        <f t="shared" si="46"/>
        <v>70.8</v>
      </c>
      <c r="X25" s="265">
        <f t="shared" si="46"/>
        <v>74.7</v>
      </c>
      <c r="Y25" s="265">
        <f t="shared" si="46"/>
        <v>78.599999999999994</v>
      </c>
      <c r="Z25" s="265">
        <f t="shared" si="46"/>
        <v>82.5</v>
      </c>
      <c r="AA25" s="265">
        <f t="shared" si="46"/>
        <v>86.4</v>
      </c>
      <c r="AB25" s="265">
        <f t="shared" si="46"/>
        <v>90.3</v>
      </c>
      <c r="AC25" s="144">
        <f t="shared" si="46"/>
        <v>94.2</v>
      </c>
      <c r="AD25" s="144">
        <f t="shared" si="46"/>
        <v>98.1</v>
      </c>
      <c r="AE25" s="144">
        <f t="shared" si="46"/>
        <v>102</v>
      </c>
      <c r="AF25" s="144">
        <f t="shared" si="46"/>
        <v>105.9</v>
      </c>
      <c r="AG25" s="144">
        <f t="shared" si="46"/>
        <v>109.8</v>
      </c>
      <c r="AH25" s="300">
        <f t="shared" si="46"/>
        <v>113.7</v>
      </c>
      <c r="AI25" s="257">
        <f t="shared" si="46"/>
        <v>78.400000000000006</v>
      </c>
      <c r="AJ25" s="144">
        <f t="shared" si="46"/>
        <v>81</v>
      </c>
      <c r="AK25" s="144">
        <f t="shared" si="46"/>
        <v>83.6</v>
      </c>
      <c r="AL25" s="265">
        <f t="shared" si="46"/>
        <v>86.2</v>
      </c>
      <c r="AM25" s="265">
        <f t="shared" si="46"/>
        <v>88.8</v>
      </c>
      <c r="AN25" s="144">
        <f t="shared" si="46"/>
        <v>91.4</v>
      </c>
      <c r="AO25" s="144">
        <f t="shared" si="46"/>
        <v>94</v>
      </c>
      <c r="AP25" s="144">
        <f t="shared" si="46"/>
        <v>96.6</v>
      </c>
      <c r="AQ25" s="144">
        <f t="shared" si="46"/>
        <v>99.2</v>
      </c>
      <c r="AR25" s="144">
        <f t="shared" si="46"/>
        <v>101.8</v>
      </c>
      <c r="AS25" s="144">
        <f t="shared" si="46"/>
        <v>104.4</v>
      </c>
      <c r="AT25" s="144">
        <f t="shared" si="46"/>
        <v>107</v>
      </c>
      <c r="AU25" s="144">
        <f t="shared" ref="AU25:BM25" si="47">AU21</f>
        <v>109.6</v>
      </c>
      <c r="AV25" s="144">
        <f t="shared" si="47"/>
        <v>112.2</v>
      </c>
      <c r="AW25" s="265">
        <f t="shared" si="47"/>
        <v>114.8</v>
      </c>
      <c r="AX25" s="308">
        <f t="shared" si="47"/>
        <v>117.4</v>
      </c>
      <c r="AY25" s="132">
        <f t="shared" si="47"/>
        <v>90</v>
      </c>
      <c r="AZ25" s="144">
        <f t="shared" si="47"/>
        <v>91.95</v>
      </c>
      <c r="BA25" s="144">
        <f t="shared" si="47"/>
        <v>93.9</v>
      </c>
      <c r="BB25" s="144">
        <f t="shared" si="47"/>
        <v>95.85</v>
      </c>
      <c r="BC25" s="144">
        <f t="shared" si="47"/>
        <v>97.8</v>
      </c>
      <c r="BD25" s="144">
        <f t="shared" si="47"/>
        <v>99.75</v>
      </c>
      <c r="BE25" s="144">
        <f t="shared" si="47"/>
        <v>101.7</v>
      </c>
      <c r="BF25" s="144">
        <f t="shared" si="47"/>
        <v>103.65</v>
      </c>
      <c r="BG25" s="144">
        <f t="shared" si="47"/>
        <v>105.6</v>
      </c>
      <c r="BH25" s="144">
        <f t="shared" si="47"/>
        <v>107.55</v>
      </c>
      <c r="BI25" s="144">
        <f t="shared" si="47"/>
        <v>109.5</v>
      </c>
      <c r="BJ25" s="144">
        <f t="shared" si="47"/>
        <v>111.45</v>
      </c>
      <c r="BK25" s="144">
        <f t="shared" si="47"/>
        <v>113.4</v>
      </c>
      <c r="BL25" s="144">
        <f t="shared" si="47"/>
        <v>115.35</v>
      </c>
      <c r="BM25" s="266">
        <f t="shared" si="47"/>
        <v>117.3</v>
      </c>
    </row>
    <row r="26" spans="1:65" s="5" customFormat="1" ht="14.25" customHeight="1">
      <c r="A26" s="651"/>
      <c r="B26" s="415" t="s">
        <v>52</v>
      </c>
      <c r="C26" s="345" t="s">
        <v>40</v>
      </c>
      <c r="D26" s="346" t="s">
        <v>40</v>
      </c>
      <c r="E26" s="338"/>
      <c r="F26" s="276"/>
      <c r="G26" s="298"/>
      <c r="H26" s="298"/>
      <c r="I26" s="298"/>
      <c r="J26" s="298"/>
      <c r="K26" s="298"/>
      <c r="L26" s="298"/>
      <c r="M26" s="298"/>
      <c r="N26" s="316"/>
      <c r="O26" s="318"/>
      <c r="P26" s="299"/>
      <c r="Q26" s="299"/>
      <c r="R26" s="299"/>
      <c r="S26" s="265">
        <f t="shared" ref="S26:BM26" si="48">S22</f>
        <v>36.799999999999997</v>
      </c>
      <c r="T26" s="265">
        <f t="shared" si="48"/>
        <v>39.4</v>
      </c>
      <c r="U26" s="265">
        <f t="shared" si="48"/>
        <v>42</v>
      </c>
      <c r="V26" s="265">
        <f t="shared" si="48"/>
        <v>44.6</v>
      </c>
      <c r="W26" s="265">
        <f t="shared" si="48"/>
        <v>47.2</v>
      </c>
      <c r="X26" s="265">
        <f t="shared" si="48"/>
        <v>49.8</v>
      </c>
      <c r="Y26" s="265">
        <f t="shared" si="48"/>
        <v>52.4</v>
      </c>
      <c r="Z26" s="265">
        <f t="shared" si="48"/>
        <v>55</v>
      </c>
      <c r="AA26" s="265">
        <f t="shared" si="48"/>
        <v>57.6</v>
      </c>
      <c r="AB26" s="265">
        <f t="shared" si="48"/>
        <v>60.2</v>
      </c>
      <c r="AC26" s="265">
        <f t="shared" si="48"/>
        <v>62.8</v>
      </c>
      <c r="AD26" s="265">
        <f t="shared" si="48"/>
        <v>65.400000000000006</v>
      </c>
      <c r="AE26" s="265">
        <f t="shared" si="48"/>
        <v>68</v>
      </c>
      <c r="AF26" s="265">
        <f t="shared" si="48"/>
        <v>70.599999999999994</v>
      </c>
      <c r="AG26" s="265">
        <f t="shared" si="48"/>
        <v>73.2</v>
      </c>
      <c r="AH26" s="300">
        <f t="shared" si="48"/>
        <v>75.8</v>
      </c>
      <c r="AI26" s="257">
        <f t="shared" si="48"/>
        <v>52.27</v>
      </c>
      <c r="AJ26" s="265">
        <f t="shared" si="48"/>
        <v>54</v>
      </c>
      <c r="AK26" s="265">
        <f t="shared" si="48"/>
        <v>55.73</v>
      </c>
      <c r="AL26" s="265">
        <f t="shared" si="48"/>
        <v>57.47</v>
      </c>
      <c r="AM26" s="265">
        <f t="shared" si="48"/>
        <v>59.2</v>
      </c>
      <c r="AN26" s="265">
        <f t="shared" si="48"/>
        <v>60.93</v>
      </c>
      <c r="AO26" s="265">
        <f t="shared" si="48"/>
        <v>62.67</v>
      </c>
      <c r="AP26" s="265">
        <f t="shared" si="48"/>
        <v>64.400000000000006</v>
      </c>
      <c r="AQ26" s="265">
        <f t="shared" si="48"/>
        <v>66.13</v>
      </c>
      <c r="AR26" s="265">
        <f t="shared" si="48"/>
        <v>67.87</v>
      </c>
      <c r="AS26" s="265">
        <f t="shared" si="48"/>
        <v>69.599999999999994</v>
      </c>
      <c r="AT26" s="265">
        <f t="shared" si="48"/>
        <v>71.33</v>
      </c>
      <c r="AU26" s="265">
        <f t="shared" si="48"/>
        <v>73.069999999999993</v>
      </c>
      <c r="AV26" s="265">
        <f t="shared" si="48"/>
        <v>74.8</v>
      </c>
      <c r="AW26" s="265">
        <f t="shared" si="48"/>
        <v>76.53</v>
      </c>
      <c r="AX26" s="308">
        <f t="shared" si="48"/>
        <v>78.27</v>
      </c>
      <c r="AY26" s="132">
        <f t="shared" si="48"/>
        <v>60</v>
      </c>
      <c r="AZ26" s="144">
        <f t="shared" si="48"/>
        <v>61.3</v>
      </c>
      <c r="BA26" s="144">
        <f t="shared" si="48"/>
        <v>62.6</v>
      </c>
      <c r="BB26" s="144">
        <f t="shared" si="48"/>
        <v>63.9</v>
      </c>
      <c r="BC26" s="144">
        <f t="shared" si="48"/>
        <v>65.2</v>
      </c>
      <c r="BD26" s="144">
        <f t="shared" si="48"/>
        <v>66.5</v>
      </c>
      <c r="BE26" s="144">
        <f t="shared" si="48"/>
        <v>67.8</v>
      </c>
      <c r="BF26" s="144">
        <f t="shared" si="48"/>
        <v>69.099999999999994</v>
      </c>
      <c r="BG26" s="144">
        <f t="shared" si="48"/>
        <v>70.400000000000006</v>
      </c>
      <c r="BH26" s="144">
        <f t="shared" si="48"/>
        <v>71.7</v>
      </c>
      <c r="BI26" s="144">
        <f t="shared" si="48"/>
        <v>73</v>
      </c>
      <c r="BJ26" s="144">
        <f t="shared" si="48"/>
        <v>74.3</v>
      </c>
      <c r="BK26" s="144">
        <f t="shared" si="48"/>
        <v>75.599999999999994</v>
      </c>
      <c r="BL26" s="144">
        <f t="shared" si="48"/>
        <v>76.900000000000006</v>
      </c>
      <c r="BM26" s="266">
        <f t="shared" si="48"/>
        <v>78.2</v>
      </c>
    </row>
    <row r="27" spans="1:65" s="5" customFormat="1" ht="14.25" customHeight="1">
      <c r="A27" s="652"/>
      <c r="B27" s="416" t="s">
        <v>80</v>
      </c>
      <c r="C27" s="347" t="s">
        <v>40</v>
      </c>
      <c r="D27" s="348" t="s">
        <v>40</v>
      </c>
      <c r="E27" s="339"/>
      <c r="F27" s="285"/>
      <c r="G27" s="301"/>
      <c r="H27" s="301"/>
      <c r="I27" s="301"/>
      <c r="J27" s="301"/>
      <c r="K27" s="301"/>
      <c r="L27" s="301"/>
      <c r="M27" s="301"/>
      <c r="N27" s="317"/>
      <c r="O27" s="319"/>
      <c r="P27" s="302"/>
      <c r="Q27" s="302"/>
      <c r="R27" s="302"/>
      <c r="S27" s="268"/>
      <c r="T27" s="268"/>
      <c r="U27" s="268"/>
      <c r="V27" s="268"/>
      <c r="W27" s="268"/>
      <c r="X27" s="268"/>
      <c r="Y27" s="268"/>
      <c r="Z27" s="268"/>
      <c r="AA27" s="268"/>
      <c r="AB27" s="270">
        <f t="shared" ref="AB27:AH27" si="49">AB23</f>
        <v>30.1</v>
      </c>
      <c r="AC27" s="270">
        <f t="shared" si="49"/>
        <v>31.4</v>
      </c>
      <c r="AD27" s="270">
        <f t="shared" si="49"/>
        <v>32.700000000000003</v>
      </c>
      <c r="AE27" s="270">
        <f t="shared" si="49"/>
        <v>34</v>
      </c>
      <c r="AF27" s="270">
        <f t="shared" si="49"/>
        <v>35.299999999999997</v>
      </c>
      <c r="AG27" s="270">
        <f t="shared" si="49"/>
        <v>36.6</v>
      </c>
      <c r="AH27" s="303">
        <f t="shared" si="49"/>
        <v>37.9</v>
      </c>
      <c r="AI27" s="267"/>
      <c r="AJ27" s="268"/>
      <c r="AK27" s="268"/>
      <c r="AL27" s="268"/>
      <c r="AM27" s="268"/>
      <c r="AN27" s="270">
        <f t="shared" ref="AN27:BM27" si="50">AN23</f>
        <v>30.47</v>
      </c>
      <c r="AO27" s="270">
        <f t="shared" si="50"/>
        <v>31.33</v>
      </c>
      <c r="AP27" s="270">
        <f t="shared" si="50"/>
        <v>32.200000000000003</v>
      </c>
      <c r="AQ27" s="310">
        <f t="shared" si="50"/>
        <v>33.07</v>
      </c>
      <c r="AR27" s="310">
        <f t="shared" si="50"/>
        <v>33.93</v>
      </c>
      <c r="AS27" s="310">
        <f t="shared" si="50"/>
        <v>34.799999999999997</v>
      </c>
      <c r="AT27" s="310">
        <f t="shared" si="50"/>
        <v>35.67</v>
      </c>
      <c r="AU27" s="310">
        <f t="shared" si="50"/>
        <v>36.53</v>
      </c>
      <c r="AV27" s="310">
        <f t="shared" si="50"/>
        <v>37.4</v>
      </c>
      <c r="AW27" s="310">
        <f t="shared" si="50"/>
        <v>38.270000000000003</v>
      </c>
      <c r="AX27" s="321">
        <f t="shared" si="50"/>
        <v>39.130000000000003</v>
      </c>
      <c r="AY27" s="133">
        <f t="shared" si="50"/>
        <v>30</v>
      </c>
      <c r="AZ27" s="145">
        <f t="shared" si="50"/>
        <v>30.65</v>
      </c>
      <c r="BA27" s="145">
        <f t="shared" si="50"/>
        <v>31.3</v>
      </c>
      <c r="BB27" s="145">
        <f t="shared" si="50"/>
        <v>31.95</v>
      </c>
      <c r="BC27" s="145">
        <f t="shared" si="50"/>
        <v>32.6</v>
      </c>
      <c r="BD27" s="145">
        <f t="shared" si="50"/>
        <v>33.25</v>
      </c>
      <c r="BE27" s="145">
        <f t="shared" si="50"/>
        <v>33.9</v>
      </c>
      <c r="BF27" s="145">
        <f t="shared" si="50"/>
        <v>34.549999999999997</v>
      </c>
      <c r="BG27" s="145">
        <f t="shared" si="50"/>
        <v>35.200000000000003</v>
      </c>
      <c r="BH27" s="145">
        <f t="shared" si="50"/>
        <v>35.85</v>
      </c>
      <c r="BI27" s="145">
        <f t="shared" si="50"/>
        <v>36.5</v>
      </c>
      <c r="BJ27" s="145">
        <f t="shared" si="50"/>
        <v>37.15</v>
      </c>
      <c r="BK27" s="145">
        <f t="shared" si="50"/>
        <v>37.799999999999997</v>
      </c>
      <c r="BL27" s="145">
        <f t="shared" si="50"/>
        <v>38.450000000000003</v>
      </c>
      <c r="BM27" s="271">
        <f t="shared" si="50"/>
        <v>39.1</v>
      </c>
    </row>
    <row r="28" spans="1:65" s="5" customFormat="1" ht="14.25" customHeight="1">
      <c r="A28" s="653" t="s">
        <v>81</v>
      </c>
      <c r="B28" s="417" t="s">
        <v>41</v>
      </c>
      <c r="C28" s="349" t="s">
        <v>40</v>
      </c>
      <c r="D28" s="350" t="s">
        <v>40</v>
      </c>
      <c r="E28" s="405"/>
      <c r="F28" s="406"/>
      <c r="G28" s="293"/>
      <c r="H28" s="293"/>
      <c r="I28" s="293"/>
      <c r="J28" s="293"/>
      <c r="K28" s="294"/>
      <c r="L28" s="294"/>
      <c r="M28" s="295"/>
      <c r="N28" s="326"/>
      <c r="O28" s="329"/>
      <c r="P28" s="295"/>
      <c r="Q28" s="296"/>
      <c r="R28" s="296"/>
      <c r="S28" s="296"/>
      <c r="T28" s="296"/>
      <c r="U28" s="297"/>
      <c r="V28" s="297"/>
      <c r="W28" s="297"/>
      <c r="X28" s="297"/>
      <c r="Y28" s="297"/>
      <c r="Z28" s="297"/>
      <c r="AA28" s="297"/>
      <c r="AB28" s="297"/>
      <c r="AC28" s="297"/>
      <c r="AD28" s="297"/>
      <c r="AE28" s="297"/>
      <c r="AF28" s="297"/>
      <c r="AG28" s="297"/>
      <c r="AH28" s="275"/>
      <c r="AI28" s="393">
        <f t="shared" ref="AI28:BM28" si="51">AI20</f>
        <v>130.66999999999999</v>
      </c>
      <c r="AJ28" s="390">
        <f t="shared" si="51"/>
        <v>135</v>
      </c>
      <c r="AK28" s="390">
        <f t="shared" si="51"/>
        <v>139.33000000000001</v>
      </c>
      <c r="AL28" s="390">
        <f t="shared" si="51"/>
        <v>143.66999999999999</v>
      </c>
      <c r="AM28" s="390">
        <f t="shared" si="51"/>
        <v>148</v>
      </c>
      <c r="AN28" s="390">
        <f t="shared" si="51"/>
        <v>121.87</v>
      </c>
      <c r="AO28" s="390">
        <f t="shared" si="51"/>
        <v>125.33</v>
      </c>
      <c r="AP28" s="390">
        <f t="shared" si="51"/>
        <v>128.80000000000001</v>
      </c>
      <c r="AQ28" s="390">
        <f t="shared" si="51"/>
        <v>132.27000000000001</v>
      </c>
      <c r="AR28" s="390">
        <f t="shared" si="51"/>
        <v>135.72999999999999</v>
      </c>
      <c r="AS28" s="390">
        <f t="shared" si="51"/>
        <v>139.19999999999999</v>
      </c>
      <c r="AT28" s="390">
        <f t="shared" si="51"/>
        <v>142.66999999999999</v>
      </c>
      <c r="AU28" s="390">
        <f t="shared" si="51"/>
        <v>146.13</v>
      </c>
      <c r="AV28" s="390">
        <f t="shared" si="51"/>
        <v>149.6</v>
      </c>
      <c r="AW28" s="390">
        <f t="shared" si="51"/>
        <v>153.07</v>
      </c>
      <c r="AX28" s="391">
        <f t="shared" si="51"/>
        <v>156.53</v>
      </c>
      <c r="AY28" s="393">
        <f t="shared" si="51"/>
        <v>120</v>
      </c>
      <c r="AZ28" s="390">
        <f t="shared" si="51"/>
        <v>122.6</v>
      </c>
      <c r="BA28" s="390">
        <f t="shared" si="51"/>
        <v>125.2</v>
      </c>
      <c r="BB28" s="390">
        <f t="shared" si="51"/>
        <v>127.8</v>
      </c>
      <c r="BC28" s="390">
        <f t="shared" si="51"/>
        <v>130.4</v>
      </c>
      <c r="BD28" s="390">
        <f t="shared" si="51"/>
        <v>133</v>
      </c>
      <c r="BE28" s="390">
        <f t="shared" si="51"/>
        <v>135.6</v>
      </c>
      <c r="BF28" s="390">
        <f t="shared" si="51"/>
        <v>138.19999999999999</v>
      </c>
      <c r="BG28" s="390">
        <f t="shared" si="51"/>
        <v>140.80000000000001</v>
      </c>
      <c r="BH28" s="390">
        <f t="shared" si="51"/>
        <v>143.4</v>
      </c>
      <c r="BI28" s="390">
        <f t="shared" si="51"/>
        <v>146</v>
      </c>
      <c r="BJ28" s="390">
        <f t="shared" si="51"/>
        <v>148.6</v>
      </c>
      <c r="BK28" s="390">
        <f t="shared" si="51"/>
        <v>151.19999999999999</v>
      </c>
      <c r="BL28" s="390">
        <f t="shared" si="51"/>
        <v>153.80000000000001</v>
      </c>
      <c r="BM28" s="400">
        <f t="shared" si="51"/>
        <v>156.4</v>
      </c>
    </row>
    <row r="29" spans="1:65" s="5" customFormat="1" ht="14.25" customHeight="1">
      <c r="A29" s="651"/>
      <c r="B29" s="418" t="s">
        <v>42</v>
      </c>
      <c r="C29" s="345" t="s">
        <v>40</v>
      </c>
      <c r="D29" s="346" t="s">
        <v>40</v>
      </c>
      <c r="E29" s="340"/>
      <c r="F29" s="277"/>
      <c r="G29" s="278"/>
      <c r="H29" s="278"/>
      <c r="I29" s="278"/>
      <c r="J29" s="279"/>
      <c r="K29" s="280"/>
      <c r="L29" s="281"/>
      <c r="M29" s="280"/>
      <c r="N29" s="327"/>
      <c r="O29" s="330"/>
      <c r="P29" s="280"/>
      <c r="Q29" s="282"/>
      <c r="R29" s="282"/>
      <c r="S29" s="282"/>
      <c r="T29" s="282"/>
      <c r="U29" s="283"/>
      <c r="V29" s="283"/>
      <c r="W29" s="283"/>
      <c r="X29" s="283"/>
      <c r="Y29" s="283"/>
      <c r="Z29" s="283"/>
      <c r="AA29" s="283"/>
      <c r="AB29" s="283"/>
      <c r="AC29" s="283"/>
      <c r="AD29" s="283"/>
      <c r="AE29" s="283"/>
      <c r="AF29" s="283"/>
      <c r="AG29" s="283"/>
      <c r="AH29" s="284"/>
      <c r="AI29" s="257">
        <f t="shared" ref="AI29:BM29" si="52">AI21</f>
        <v>78.400000000000006</v>
      </c>
      <c r="AJ29" s="265">
        <f t="shared" si="52"/>
        <v>81</v>
      </c>
      <c r="AK29" s="265">
        <f t="shared" si="52"/>
        <v>83.6</v>
      </c>
      <c r="AL29" s="265">
        <f t="shared" si="52"/>
        <v>86.2</v>
      </c>
      <c r="AM29" s="265">
        <f t="shared" si="52"/>
        <v>88.8</v>
      </c>
      <c r="AN29" s="265">
        <f t="shared" si="52"/>
        <v>91.4</v>
      </c>
      <c r="AO29" s="265">
        <f t="shared" si="52"/>
        <v>94</v>
      </c>
      <c r="AP29" s="265">
        <f t="shared" si="52"/>
        <v>96.6</v>
      </c>
      <c r="AQ29" s="265">
        <f t="shared" si="52"/>
        <v>99.2</v>
      </c>
      <c r="AR29" s="265">
        <f t="shared" si="52"/>
        <v>101.8</v>
      </c>
      <c r="AS29" s="265">
        <f t="shared" si="52"/>
        <v>104.4</v>
      </c>
      <c r="AT29" s="265">
        <f t="shared" si="52"/>
        <v>107</v>
      </c>
      <c r="AU29" s="265">
        <f t="shared" si="52"/>
        <v>109.6</v>
      </c>
      <c r="AV29" s="265">
        <f t="shared" si="52"/>
        <v>112.2</v>
      </c>
      <c r="AW29" s="265">
        <f t="shared" si="52"/>
        <v>114.8</v>
      </c>
      <c r="AX29" s="308">
        <f t="shared" si="52"/>
        <v>117.4</v>
      </c>
      <c r="AY29" s="257">
        <f t="shared" si="52"/>
        <v>90</v>
      </c>
      <c r="AZ29" s="265">
        <f t="shared" si="52"/>
        <v>91.95</v>
      </c>
      <c r="BA29" s="265">
        <f t="shared" si="52"/>
        <v>93.9</v>
      </c>
      <c r="BB29" s="265">
        <f t="shared" si="52"/>
        <v>95.85</v>
      </c>
      <c r="BC29" s="265">
        <f t="shared" si="52"/>
        <v>97.8</v>
      </c>
      <c r="BD29" s="265">
        <f t="shared" si="52"/>
        <v>99.75</v>
      </c>
      <c r="BE29" s="265">
        <f t="shared" si="52"/>
        <v>101.7</v>
      </c>
      <c r="BF29" s="265">
        <f t="shared" si="52"/>
        <v>103.65</v>
      </c>
      <c r="BG29" s="265">
        <f t="shared" si="52"/>
        <v>105.6</v>
      </c>
      <c r="BH29" s="265">
        <f t="shared" si="52"/>
        <v>107.55</v>
      </c>
      <c r="BI29" s="265">
        <f t="shared" si="52"/>
        <v>109.5</v>
      </c>
      <c r="BJ29" s="265">
        <f t="shared" si="52"/>
        <v>111.45</v>
      </c>
      <c r="BK29" s="265">
        <f t="shared" si="52"/>
        <v>113.4</v>
      </c>
      <c r="BL29" s="265">
        <f t="shared" si="52"/>
        <v>115.35</v>
      </c>
      <c r="BM29" s="266">
        <f t="shared" si="52"/>
        <v>117.3</v>
      </c>
    </row>
    <row r="30" spans="1:65" s="5" customFormat="1" ht="14.25" customHeight="1">
      <c r="A30" s="651"/>
      <c r="B30" s="419" t="s">
        <v>52</v>
      </c>
      <c r="C30" s="345" t="s">
        <v>40</v>
      </c>
      <c r="D30" s="346" t="s">
        <v>40</v>
      </c>
      <c r="E30" s="340"/>
      <c r="F30" s="277"/>
      <c r="G30" s="278"/>
      <c r="H30" s="278"/>
      <c r="I30" s="278"/>
      <c r="J30" s="279"/>
      <c r="K30" s="280"/>
      <c r="L30" s="281"/>
      <c r="M30" s="280"/>
      <c r="N30" s="327"/>
      <c r="O30" s="330"/>
      <c r="P30" s="280"/>
      <c r="Q30" s="282"/>
      <c r="R30" s="282"/>
      <c r="S30" s="282"/>
      <c r="T30" s="282"/>
      <c r="U30" s="283"/>
      <c r="V30" s="283"/>
      <c r="W30" s="283"/>
      <c r="X30" s="283"/>
      <c r="Y30" s="283"/>
      <c r="Z30" s="283"/>
      <c r="AA30" s="283"/>
      <c r="AB30" s="283"/>
      <c r="AC30" s="283"/>
      <c r="AD30" s="283"/>
      <c r="AE30" s="283"/>
      <c r="AF30" s="283"/>
      <c r="AG30" s="283"/>
      <c r="AH30" s="284"/>
      <c r="AI30" s="257">
        <f t="shared" ref="AI30:BM30" si="53">AI22</f>
        <v>52.27</v>
      </c>
      <c r="AJ30" s="265">
        <f t="shared" si="53"/>
        <v>54</v>
      </c>
      <c r="AK30" s="265">
        <f t="shared" si="53"/>
        <v>55.73</v>
      </c>
      <c r="AL30" s="265">
        <f t="shared" si="53"/>
        <v>57.47</v>
      </c>
      <c r="AM30" s="265">
        <f t="shared" si="53"/>
        <v>59.2</v>
      </c>
      <c r="AN30" s="265">
        <f t="shared" si="53"/>
        <v>60.93</v>
      </c>
      <c r="AO30" s="265">
        <f t="shared" si="53"/>
        <v>62.67</v>
      </c>
      <c r="AP30" s="265">
        <f t="shared" si="53"/>
        <v>64.400000000000006</v>
      </c>
      <c r="AQ30" s="265">
        <f t="shared" si="53"/>
        <v>66.13</v>
      </c>
      <c r="AR30" s="265">
        <f t="shared" si="53"/>
        <v>67.87</v>
      </c>
      <c r="AS30" s="265">
        <f t="shared" si="53"/>
        <v>69.599999999999994</v>
      </c>
      <c r="AT30" s="265">
        <f t="shared" si="53"/>
        <v>71.33</v>
      </c>
      <c r="AU30" s="265">
        <f t="shared" si="53"/>
        <v>73.069999999999993</v>
      </c>
      <c r="AV30" s="265">
        <f t="shared" si="53"/>
        <v>74.8</v>
      </c>
      <c r="AW30" s="265">
        <f t="shared" si="53"/>
        <v>76.53</v>
      </c>
      <c r="AX30" s="308">
        <f t="shared" si="53"/>
        <v>78.27</v>
      </c>
      <c r="AY30" s="257">
        <f t="shared" si="53"/>
        <v>60</v>
      </c>
      <c r="AZ30" s="265">
        <f t="shared" si="53"/>
        <v>61.3</v>
      </c>
      <c r="BA30" s="265">
        <f t="shared" si="53"/>
        <v>62.6</v>
      </c>
      <c r="BB30" s="265">
        <f t="shared" si="53"/>
        <v>63.9</v>
      </c>
      <c r="BC30" s="265">
        <f t="shared" si="53"/>
        <v>65.2</v>
      </c>
      <c r="BD30" s="265">
        <f t="shared" si="53"/>
        <v>66.5</v>
      </c>
      <c r="BE30" s="265">
        <f t="shared" si="53"/>
        <v>67.8</v>
      </c>
      <c r="BF30" s="265">
        <f t="shared" si="53"/>
        <v>69.099999999999994</v>
      </c>
      <c r="BG30" s="265">
        <f t="shared" si="53"/>
        <v>70.400000000000006</v>
      </c>
      <c r="BH30" s="265">
        <f t="shared" si="53"/>
        <v>71.7</v>
      </c>
      <c r="BI30" s="265">
        <f t="shared" si="53"/>
        <v>73</v>
      </c>
      <c r="BJ30" s="265">
        <f t="shared" si="53"/>
        <v>74.3</v>
      </c>
      <c r="BK30" s="265">
        <f t="shared" si="53"/>
        <v>75.599999999999994</v>
      </c>
      <c r="BL30" s="265">
        <f t="shared" si="53"/>
        <v>76.900000000000006</v>
      </c>
      <c r="BM30" s="266">
        <f t="shared" si="53"/>
        <v>78.2</v>
      </c>
    </row>
    <row r="31" spans="1:65" s="5" customFormat="1" ht="14.25" customHeight="1">
      <c r="A31" s="652"/>
      <c r="B31" s="420" t="s">
        <v>80</v>
      </c>
      <c r="C31" s="347" t="s">
        <v>40</v>
      </c>
      <c r="D31" s="348" t="s">
        <v>40</v>
      </c>
      <c r="E31" s="341"/>
      <c r="F31" s="268"/>
      <c r="G31" s="286"/>
      <c r="H31" s="286"/>
      <c r="I31" s="286"/>
      <c r="J31" s="287"/>
      <c r="K31" s="288"/>
      <c r="L31" s="289"/>
      <c r="M31" s="288"/>
      <c r="N31" s="328"/>
      <c r="O31" s="331"/>
      <c r="P31" s="288"/>
      <c r="Q31" s="290"/>
      <c r="R31" s="290"/>
      <c r="S31" s="290"/>
      <c r="T31" s="290"/>
      <c r="U31" s="291"/>
      <c r="V31" s="291"/>
      <c r="W31" s="291"/>
      <c r="X31" s="291"/>
      <c r="Y31" s="291"/>
      <c r="Z31" s="291"/>
      <c r="AA31" s="291"/>
      <c r="AB31" s="291"/>
      <c r="AC31" s="291"/>
      <c r="AD31" s="291"/>
      <c r="AE31" s="291"/>
      <c r="AF31" s="291"/>
      <c r="AG31" s="291"/>
      <c r="AH31" s="292"/>
      <c r="AI31" s="313"/>
      <c r="AJ31" s="309"/>
      <c r="AK31" s="309"/>
      <c r="AL31" s="309"/>
      <c r="AM31" s="268"/>
      <c r="AN31" s="310">
        <f t="shared" ref="AN31:BM31" si="54">AN27</f>
        <v>30.47</v>
      </c>
      <c r="AO31" s="310">
        <f t="shared" si="54"/>
        <v>31.33</v>
      </c>
      <c r="AP31" s="310">
        <f t="shared" si="54"/>
        <v>32.200000000000003</v>
      </c>
      <c r="AQ31" s="310">
        <f t="shared" si="54"/>
        <v>33.07</v>
      </c>
      <c r="AR31" s="310">
        <f t="shared" si="54"/>
        <v>33.93</v>
      </c>
      <c r="AS31" s="310">
        <f t="shared" si="54"/>
        <v>34.799999999999997</v>
      </c>
      <c r="AT31" s="310">
        <f t="shared" si="54"/>
        <v>35.67</v>
      </c>
      <c r="AU31" s="310">
        <f t="shared" si="54"/>
        <v>36.53</v>
      </c>
      <c r="AV31" s="310">
        <f t="shared" si="54"/>
        <v>37.4</v>
      </c>
      <c r="AW31" s="310">
        <f t="shared" si="54"/>
        <v>38.270000000000003</v>
      </c>
      <c r="AX31" s="321">
        <f t="shared" si="54"/>
        <v>39.130000000000003</v>
      </c>
      <c r="AY31" s="322">
        <f t="shared" si="54"/>
        <v>30</v>
      </c>
      <c r="AZ31" s="270">
        <f t="shared" si="54"/>
        <v>30.65</v>
      </c>
      <c r="BA31" s="270">
        <f t="shared" si="54"/>
        <v>31.3</v>
      </c>
      <c r="BB31" s="270">
        <f t="shared" si="54"/>
        <v>31.95</v>
      </c>
      <c r="BC31" s="270">
        <f t="shared" si="54"/>
        <v>32.6</v>
      </c>
      <c r="BD31" s="270">
        <f t="shared" si="54"/>
        <v>33.25</v>
      </c>
      <c r="BE31" s="270">
        <f t="shared" si="54"/>
        <v>33.9</v>
      </c>
      <c r="BF31" s="270">
        <f t="shared" si="54"/>
        <v>34.549999999999997</v>
      </c>
      <c r="BG31" s="270">
        <f t="shared" si="54"/>
        <v>35.200000000000003</v>
      </c>
      <c r="BH31" s="270">
        <f t="shared" si="54"/>
        <v>35.85</v>
      </c>
      <c r="BI31" s="270">
        <f t="shared" si="54"/>
        <v>36.5</v>
      </c>
      <c r="BJ31" s="270">
        <f t="shared" si="54"/>
        <v>37.15</v>
      </c>
      <c r="BK31" s="270">
        <f t="shared" si="54"/>
        <v>37.799999999999997</v>
      </c>
      <c r="BL31" s="270">
        <f t="shared" si="54"/>
        <v>38.450000000000003</v>
      </c>
      <c r="BM31" s="271">
        <f t="shared" si="54"/>
        <v>39.1</v>
      </c>
    </row>
    <row r="32" spans="1:65" s="5" customFormat="1" ht="14.25" customHeight="1">
      <c r="A32" s="654" t="s">
        <v>82</v>
      </c>
      <c r="B32" s="421" t="s">
        <v>41</v>
      </c>
      <c r="C32" s="343" t="s">
        <v>40</v>
      </c>
      <c r="D32" s="344" t="s">
        <v>40</v>
      </c>
      <c r="E32" s="407"/>
      <c r="F32" s="408"/>
      <c r="G32" s="272"/>
      <c r="H32" s="272"/>
      <c r="I32" s="272"/>
      <c r="J32" s="272"/>
      <c r="K32" s="273"/>
      <c r="L32" s="273"/>
      <c r="M32" s="273"/>
      <c r="N32" s="326"/>
      <c r="O32" s="329"/>
      <c r="P32" s="273"/>
      <c r="Q32" s="274"/>
      <c r="R32" s="274"/>
      <c r="S32" s="274"/>
      <c r="T32" s="274"/>
      <c r="U32" s="274"/>
      <c r="V32" s="274"/>
      <c r="W32" s="274"/>
      <c r="X32" s="274"/>
      <c r="Y32" s="274"/>
      <c r="Z32" s="274"/>
      <c r="AA32" s="274"/>
      <c r="AB32" s="274"/>
      <c r="AC32" s="274"/>
      <c r="AD32" s="274"/>
      <c r="AE32" s="274"/>
      <c r="AF32" s="274"/>
      <c r="AG32" s="274"/>
      <c r="AH32" s="332"/>
      <c r="AI32" s="407"/>
      <c r="AJ32" s="408"/>
      <c r="AK32" s="408"/>
      <c r="AL32" s="408"/>
      <c r="AM32" s="408"/>
      <c r="AN32" s="408"/>
      <c r="AO32" s="408"/>
      <c r="AP32" s="408"/>
      <c r="AQ32" s="408"/>
      <c r="AR32" s="408"/>
      <c r="AS32" s="408"/>
      <c r="AT32" s="408"/>
      <c r="AU32" s="408"/>
      <c r="AV32" s="408"/>
      <c r="AW32" s="408"/>
      <c r="AX32" s="409"/>
      <c r="AY32" s="410">
        <f t="shared" ref="AY32:BM32" si="55">AY20</f>
        <v>120</v>
      </c>
      <c r="AZ32" s="390">
        <f t="shared" si="55"/>
        <v>122.6</v>
      </c>
      <c r="BA32" s="390">
        <f t="shared" si="55"/>
        <v>125.2</v>
      </c>
      <c r="BB32" s="390">
        <f t="shared" si="55"/>
        <v>127.8</v>
      </c>
      <c r="BC32" s="390">
        <f t="shared" si="55"/>
        <v>130.4</v>
      </c>
      <c r="BD32" s="390">
        <f t="shared" si="55"/>
        <v>133</v>
      </c>
      <c r="BE32" s="390">
        <f t="shared" si="55"/>
        <v>135.6</v>
      </c>
      <c r="BF32" s="390">
        <f t="shared" si="55"/>
        <v>138.19999999999999</v>
      </c>
      <c r="BG32" s="390">
        <f t="shared" si="55"/>
        <v>140.80000000000001</v>
      </c>
      <c r="BH32" s="390">
        <f t="shared" si="55"/>
        <v>143.4</v>
      </c>
      <c r="BI32" s="390">
        <f t="shared" si="55"/>
        <v>146</v>
      </c>
      <c r="BJ32" s="390">
        <f t="shared" si="55"/>
        <v>148.6</v>
      </c>
      <c r="BK32" s="390">
        <f t="shared" si="55"/>
        <v>151.19999999999999</v>
      </c>
      <c r="BL32" s="390">
        <f t="shared" si="55"/>
        <v>153.80000000000001</v>
      </c>
      <c r="BM32" s="400">
        <f t="shared" si="55"/>
        <v>156.4</v>
      </c>
    </row>
    <row r="33" spans="1:65" s="5" customFormat="1" ht="14.25" customHeight="1">
      <c r="A33" s="654"/>
      <c r="B33" s="422" t="s">
        <v>42</v>
      </c>
      <c r="C33" s="345" t="s">
        <v>40</v>
      </c>
      <c r="D33" s="346" t="s">
        <v>40</v>
      </c>
      <c r="E33" s="334"/>
      <c r="F33" s="277"/>
      <c r="G33" s="279"/>
      <c r="H33" s="279"/>
      <c r="I33" s="279"/>
      <c r="J33" s="279"/>
      <c r="K33" s="281"/>
      <c r="L33" s="281"/>
      <c r="M33" s="281"/>
      <c r="N33" s="327"/>
      <c r="O33" s="330"/>
      <c r="P33" s="281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83"/>
      <c r="AB33" s="283"/>
      <c r="AC33" s="283"/>
      <c r="AD33" s="283"/>
      <c r="AE33" s="283"/>
      <c r="AF33" s="283"/>
      <c r="AG33" s="283"/>
      <c r="AH33" s="311"/>
      <c r="AI33" s="334"/>
      <c r="AJ33" s="277"/>
      <c r="AK33" s="277"/>
      <c r="AL33" s="277"/>
      <c r="AM33" s="277"/>
      <c r="AN33" s="277"/>
      <c r="AO33" s="277"/>
      <c r="AP33" s="277"/>
      <c r="AQ33" s="277"/>
      <c r="AR33" s="277"/>
      <c r="AS33" s="277"/>
      <c r="AT33" s="277"/>
      <c r="AU33" s="277"/>
      <c r="AV33" s="277"/>
      <c r="AW33" s="277"/>
      <c r="AX33" s="335"/>
      <c r="AY33" s="304">
        <f t="shared" ref="AY33:BM33" si="56">AY21</f>
        <v>90</v>
      </c>
      <c r="AZ33" s="265">
        <f t="shared" si="56"/>
        <v>91.95</v>
      </c>
      <c r="BA33" s="265">
        <f t="shared" si="56"/>
        <v>93.9</v>
      </c>
      <c r="BB33" s="265">
        <f t="shared" si="56"/>
        <v>95.85</v>
      </c>
      <c r="BC33" s="265">
        <f t="shared" si="56"/>
        <v>97.8</v>
      </c>
      <c r="BD33" s="265">
        <f t="shared" si="56"/>
        <v>99.75</v>
      </c>
      <c r="BE33" s="265">
        <f t="shared" si="56"/>
        <v>101.7</v>
      </c>
      <c r="BF33" s="265">
        <f t="shared" si="56"/>
        <v>103.65</v>
      </c>
      <c r="BG33" s="265">
        <f t="shared" si="56"/>
        <v>105.6</v>
      </c>
      <c r="BH33" s="265">
        <f t="shared" si="56"/>
        <v>107.55</v>
      </c>
      <c r="BI33" s="265">
        <f t="shared" si="56"/>
        <v>109.5</v>
      </c>
      <c r="BJ33" s="265">
        <f t="shared" si="56"/>
        <v>111.45</v>
      </c>
      <c r="BK33" s="265">
        <f t="shared" si="56"/>
        <v>113.4</v>
      </c>
      <c r="BL33" s="265">
        <f t="shared" si="56"/>
        <v>115.35</v>
      </c>
      <c r="BM33" s="266">
        <f t="shared" si="56"/>
        <v>117.3</v>
      </c>
    </row>
    <row r="34" spans="1:65" s="5" customFormat="1" ht="14.25" customHeight="1">
      <c r="A34" s="654"/>
      <c r="B34" s="423" t="s">
        <v>52</v>
      </c>
      <c r="C34" s="345" t="s">
        <v>40</v>
      </c>
      <c r="D34" s="346" t="s">
        <v>40</v>
      </c>
      <c r="E34" s="334"/>
      <c r="F34" s="277"/>
      <c r="G34" s="279"/>
      <c r="H34" s="279"/>
      <c r="I34" s="279"/>
      <c r="J34" s="279"/>
      <c r="K34" s="281"/>
      <c r="L34" s="281"/>
      <c r="M34" s="281"/>
      <c r="N34" s="327"/>
      <c r="O34" s="330"/>
      <c r="P34" s="281"/>
      <c r="Q34" s="283"/>
      <c r="R34" s="283"/>
      <c r="S34" s="283"/>
      <c r="T34" s="283"/>
      <c r="U34" s="283"/>
      <c r="V34" s="283"/>
      <c r="W34" s="283"/>
      <c r="X34" s="283"/>
      <c r="Y34" s="283"/>
      <c r="Z34" s="283"/>
      <c r="AA34" s="283"/>
      <c r="AB34" s="283"/>
      <c r="AC34" s="283"/>
      <c r="AD34" s="283"/>
      <c r="AE34" s="283"/>
      <c r="AF34" s="283"/>
      <c r="AG34" s="283"/>
      <c r="AH34" s="311"/>
      <c r="AI34" s="334"/>
      <c r="AJ34" s="277"/>
      <c r="AK34" s="277"/>
      <c r="AL34" s="277"/>
      <c r="AM34" s="277"/>
      <c r="AN34" s="277"/>
      <c r="AO34" s="277"/>
      <c r="AP34" s="277"/>
      <c r="AQ34" s="277"/>
      <c r="AR34" s="277"/>
      <c r="AS34" s="277"/>
      <c r="AT34" s="277"/>
      <c r="AU34" s="277"/>
      <c r="AV34" s="277"/>
      <c r="AW34" s="277"/>
      <c r="AX34" s="335"/>
      <c r="AY34" s="304">
        <f t="shared" ref="AY34:BM34" si="57">AY22</f>
        <v>60</v>
      </c>
      <c r="AZ34" s="265">
        <f t="shared" si="57"/>
        <v>61.3</v>
      </c>
      <c r="BA34" s="265">
        <f t="shared" si="57"/>
        <v>62.6</v>
      </c>
      <c r="BB34" s="265">
        <f t="shared" si="57"/>
        <v>63.9</v>
      </c>
      <c r="BC34" s="265">
        <f t="shared" si="57"/>
        <v>65.2</v>
      </c>
      <c r="BD34" s="265">
        <f t="shared" si="57"/>
        <v>66.5</v>
      </c>
      <c r="BE34" s="265">
        <f t="shared" si="57"/>
        <v>67.8</v>
      </c>
      <c r="BF34" s="265">
        <f t="shared" si="57"/>
        <v>69.099999999999994</v>
      </c>
      <c r="BG34" s="265">
        <f t="shared" si="57"/>
        <v>70.400000000000006</v>
      </c>
      <c r="BH34" s="265">
        <f t="shared" si="57"/>
        <v>71.7</v>
      </c>
      <c r="BI34" s="265">
        <f t="shared" si="57"/>
        <v>73</v>
      </c>
      <c r="BJ34" s="265">
        <f t="shared" si="57"/>
        <v>74.3</v>
      </c>
      <c r="BK34" s="265">
        <f t="shared" si="57"/>
        <v>75.599999999999994</v>
      </c>
      <c r="BL34" s="265">
        <f t="shared" si="57"/>
        <v>76.900000000000006</v>
      </c>
      <c r="BM34" s="266">
        <f t="shared" si="57"/>
        <v>78.2</v>
      </c>
    </row>
    <row r="35" spans="1:65" s="5" customFormat="1" ht="14.25" customHeight="1">
      <c r="A35" s="655"/>
      <c r="B35" s="420" t="s">
        <v>80</v>
      </c>
      <c r="C35" s="347" t="s">
        <v>40</v>
      </c>
      <c r="D35" s="348" t="s">
        <v>40</v>
      </c>
      <c r="E35" s="267"/>
      <c r="F35" s="268"/>
      <c r="G35" s="287"/>
      <c r="H35" s="287"/>
      <c r="I35" s="287"/>
      <c r="J35" s="287"/>
      <c r="K35" s="289"/>
      <c r="L35" s="289"/>
      <c r="M35" s="289"/>
      <c r="N35" s="328"/>
      <c r="O35" s="331"/>
      <c r="P35" s="289"/>
      <c r="Q35" s="291"/>
      <c r="R35" s="291"/>
      <c r="S35" s="291"/>
      <c r="T35" s="291"/>
      <c r="U35" s="291"/>
      <c r="V35" s="291"/>
      <c r="W35" s="291"/>
      <c r="X35" s="291"/>
      <c r="Y35" s="291"/>
      <c r="Z35" s="291"/>
      <c r="AA35" s="291"/>
      <c r="AB35" s="291"/>
      <c r="AC35" s="291"/>
      <c r="AD35" s="291"/>
      <c r="AE35" s="291"/>
      <c r="AF35" s="291"/>
      <c r="AG35" s="291"/>
      <c r="AH35" s="312"/>
      <c r="AI35" s="267"/>
      <c r="AJ35" s="268"/>
      <c r="AK35" s="268"/>
      <c r="AL35" s="268"/>
      <c r="AM35" s="268"/>
      <c r="AN35" s="268"/>
      <c r="AO35" s="268"/>
      <c r="AP35" s="268"/>
      <c r="AQ35" s="268"/>
      <c r="AR35" s="268"/>
      <c r="AS35" s="268"/>
      <c r="AT35" s="268"/>
      <c r="AU35" s="268"/>
      <c r="AV35" s="268"/>
      <c r="AW35" s="268"/>
      <c r="AX35" s="336"/>
      <c r="AY35" s="333">
        <f t="shared" ref="AY35:BM35" si="58">AY23</f>
        <v>30</v>
      </c>
      <c r="AZ35" s="270">
        <f t="shared" si="58"/>
        <v>30.65</v>
      </c>
      <c r="BA35" s="270">
        <f t="shared" si="58"/>
        <v>31.3</v>
      </c>
      <c r="BB35" s="270">
        <f t="shared" si="58"/>
        <v>31.95</v>
      </c>
      <c r="BC35" s="270">
        <f t="shared" si="58"/>
        <v>32.6</v>
      </c>
      <c r="BD35" s="270">
        <f t="shared" si="58"/>
        <v>33.25</v>
      </c>
      <c r="BE35" s="270">
        <f t="shared" si="58"/>
        <v>33.9</v>
      </c>
      <c r="BF35" s="270">
        <f t="shared" si="58"/>
        <v>34.549999999999997</v>
      </c>
      <c r="BG35" s="270">
        <f t="shared" si="58"/>
        <v>35.200000000000003</v>
      </c>
      <c r="BH35" s="270">
        <f t="shared" si="58"/>
        <v>35.85</v>
      </c>
      <c r="BI35" s="270">
        <f t="shared" si="58"/>
        <v>36.5</v>
      </c>
      <c r="BJ35" s="270">
        <f t="shared" si="58"/>
        <v>37.15</v>
      </c>
      <c r="BK35" s="270">
        <f t="shared" si="58"/>
        <v>37.799999999999997</v>
      </c>
      <c r="BL35" s="270">
        <f t="shared" si="58"/>
        <v>38.450000000000003</v>
      </c>
      <c r="BM35" s="271">
        <f t="shared" si="58"/>
        <v>39.1</v>
      </c>
    </row>
    <row r="36" spans="1:65" s="45" customFormat="1" ht="19" thickBot="1">
      <c r="A36" s="644" t="s">
        <v>54</v>
      </c>
      <c r="B36" s="645"/>
      <c r="C36" s="380" t="s">
        <v>40</v>
      </c>
      <c r="D36" s="381" t="s">
        <v>40</v>
      </c>
      <c r="E36" s="342">
        <v>1</v>
      </c>
      <c r="F36" s="259">
        <v>1</v>
      </c>
      <c r="G36" s="259">
        <v>1</v>
      </c>
      <c r="H36" s="259">
        <v>1</v>
      </c>
      <c r="I36" s="259">
        <v>1</v>
      </c>
      <c r="J36" s="256">
        <v>1</v>
      </c>
      <c r="K36" s="259">
        <v>1</v>
      </c>
      <c r="L36" s="256">
        <v>1</v>
      </c>
      <c r="M36" s="256">
        <v>1</v>
      </c>
      <c r="N36" s="259">
        <v>1</v>
      </c>
      <c r="O36" s="258">
        <v>2</v>
      </c>
      <c r="P36" s="259">
        <v>2</v>
      </c>
      <c r="Q36" s="259">
        <v>2</v>
      </c>
      <c r="R36" s="259">
        <v>2</v>
      </c>
      <c r="S36" s="259">
        <v>2</v>
      </c>
      <c r="T36" s="259">
        <v>2</v>
      </c>
      <c r="U36" s="259">
        <v>2</v>
      </c>
      <c r="V36" s="259">
        <v>2</v>
      </c>
      <c r="W36" s="259">
        <v>2</v>
      </c>
      <c r="X36" s="259">
        <v>2</v>
      </c>
      <c r="Y36" s="259">
        <v>2</v>
      </c>
      <c r="Z36" s="259">
        <v>2</v>
      </c>
      <c r="AA36" s="259">
        <v>2</v>
      </c>
      <c r="AB36" s="259">
        <v>2</v>
      </c>
      <c r="AC36" s="256">
        <v>2</v>
      </c>
      <c r="AD36" s="256">
        <v>2</v>
      </c>
      <c r="AE36" s="256">
        <v>2</v>
      </c>
      <c r="AF36" s="256">
        <v>2</v>
      </c>
      <c r="AG36" s="256">
        <v>2</v>
      </c>
      <c r="AH36" s="256">
        <v>2</v>
      </c>
      <c r="AI36" s="314">
        <v>3</v>
      </c>
      <c r="AJ36" s="256">
        <v>3</v>
      </c>
      <c r="AK36" s="256">
        <v>3</v>
      </c>
      <c r="AL36" s="256">
        <v>3</v>
      </c>
      <c r="AM36" s="256">
        <v>3</v>
      </c>
      <c r="AN36" s="256">
        <v>3</v>
      </c>
      <c r="AO36" s="256">
        <v>3</v>
      </c>
      <c r="AP36" s="256">
        <v>3</v>
      </c>
      <c r="AQ36" s="256">
        <v>3</v>
      </c>
      <c r="AR36" s="256">
        <v>3</v>
      </c>
      <c r="AS36" s="256">
        <v>3</v>
      </c>
      <c r="AT36" s="256">
        <v>3</v>
      </c>
      <c r="AU36" s="256">
        <v>3</v>
      </c>
      <c r="AV36" s="256">
        <v>3</v>
      </c>
      <c r="AW36" s="256">
        <v>3</v>
      </c>
      <c r="AX36" s="256">
        <v>3</v>
      </c>
      <c r="AY36" s="314">
        <v>4</v>
      </c>
      <c r="AZ36" s="256">
        <v>4</v>
      </c>
      <c r="BA36" s="256">
        <v>4</v>
      </c>
      <c r="BB36" s="256">
        <v>4</v>
      </c>
      <c r="BC36" s="256">
        <v>4</v>
      </c>
      <c r="BD36" s="256">
        <v>4</v>
      </c>
      <c r="BE36" s="256">
        <v>4</v>
      </c>
      <c r="BF36" s="256">
        <v>4</v>
      </c>
      <c r="BG36" s="256">
        <v>4</v>
      </c>
      <c r="BH36" s="256">
        <v>4</v>
      </c>
      <c r="BI36" s="256">
        <v>4</v>
      </c>
      <c r="BJ36" s="256">
        <v>4</v>
      </c>
      <c r="BK36" s="256">
        <v>4</v>
      </c>
      <c r="BL36" s="256">
        <v>4</v>
      </c>
      <c r="BM36" s="324">
        <v>4</v>
      </c>
    </row>
    <row r="37" spans="1:65" s="500" customFormat="1" ht="20.25" customHeight="1" thickBot="1">
      <c r="A37" s="501" t="s">
        <v>19</v>
      </c>
      <c r="B37" s="502">
        <v>8</v>
      </c>
      <c r="C37" s="503">
        <f t="shared" ref="C37:M37" si="59">SUM(C16*$B37)</f>
        <v>16</v>
      </c>
      <c r="D37" s="504">
        <f t="shared" si="59"/>
        <v>24</v>
      </c>
      <c r="E37" s="505">
        <f t="shared" si="59"/>
        <v>32</v>
      </c>
      <c r="F37" s="506">
        <f t="shared" si="59"/>
        <v>40</v>
      </c>
      <c r="G37" s="506">
        <f t="shared" si="59"/>
        <v>48</v>
      </c>
      <c r="H37" s="506">
        <f t="shared" si="59"/>
        <v>56</v>
      </c>
      <c r="I37" s="506">
        <f t="shared" si="59"/>
        <v>64</v>
      </c>
      <c r="J37" s="506">
        <f t="shared" si="59"/>
        <v>72</v>
      </c>
      <c r="K37" s="506">
        <f t="shared" si="59"/>
        <v>80</v>
      </c>
      <c r="L37" s="506">
        <f t="shared" si="59"/>
        <v>88</v>
      </c>
      <c r="M37" s="506">
        <f t="shared" si="59"/>
        <v>96</v>
      </c>
      <c r="N37" s="506">
        <v>100</v>
      </c>
      <c r="O37" s="507">
        <v>100</v>
      </c>
      <c r="P37" s="506">
        <v>100</v>
      </c>
      <c r="Q37" s="506">
        <v>100</v>
      </c>
      <c r="R37" s="506">
        <v>100</v>
      </c>
      <c r="S37" s="506">
        <v>100</v>
      </c>
      <c r="T37" s="506">
        <v>100</v>
      </c>
      <c r="U37" s="506">
        <v>100</v>
      </c>
      <c r="V37" s="506">
        <v>100</v>
      </c>
      <c r="W37" s="506">
        <v>100</v>
      </c>
      <c r="X37" s="506">
        <v>100</v>
      </c>
      <c r="Y37" s="506">
        <v>100</v>
      </c>
      <c r="Z37" s="506">
        <v>100</v>
      </c>
      <c r="AA37" s="506">
        <v>100</v>
      </c>
      <c r="AB37" s="506">
        <v>100</v>
      </c>
      <c r="AC37" s="506">
        <v>100</v>
      </c>
      <c r="AD37" s="506">
        <v>100</v>
      </c>
      <c r="AE37" s="506">
        <v>100</v>
      </c>
      <c r="AF37" s="506">
        <v>100</v>
      </c>
      <c r="AG37" s="506">
        <v>100</v>
      </c>
      <c r="AH37" s="506">
        <v>100</v>
      </c>
      <c r="AI37" s="507">
        <v>100</v>
      </c>
      <c r="AJ37" s="507">
        <v>100</v>
      </c>
      <c r="AK37" s="507">
        <v>100</v>
      </c>
      <c r="AL37" s="507">
        <v>100</v>
      </c>
      <c r="AM37" s="507">
        <v>100</v>
      </c>
      <c r="AN37" s="507">
        <v>100</v>
      </c>
      <c r="AO37" s="507">
        <v>100</v>
      </c>
      <c r="AP37" s="507">
        <v>100</v>
      </c>
      <c r="AQ37" s="506">
        <v>100</v>
      </c>
      <c r="AR37" s="506">
        <v>100</v>
      </c>
      <c r="AS37" s="506">
        <v>100</v>
      </c>
      <c r="AT37" s="506">
        <v>100</v>
      </c>
      <c r="AU37" s="506">
        <v>100</v>
      </c>
      <c r="AV37" s="506">
        <v>100</v>
      </c>
      <c r="AW37" s="506">
        <v>100</v>
      </c>
      <c r="AX37" s="506">
        <v>100</v>
      </c>
      <c r="AY37" s="507">
        <v>100</v>
      </c>
      <c r="AZ37" s="506">
        <v>100</v>
      </c>
      <c r="BA37" s="506">
        <v>100</v>
      </c>
      <c r="BB37" s="506">
        <v>100</v>
      </c>
      <c r="BC37" s="506">
        <v>100</v>
      </c>
      <c r="BD37" s="506">
        <v>100</v>
      </c>
      <c r="BE37" s="506">
        <v>100</v>
      </c>
      <c r="BF37" s="506">
        <v>100</v>
      </c>
      <c r="BG37" s="506">
        <v>100</v>
      </c>
      <c r="BH37" s="506">
        <v>100</v>
      </c>
      <c r="BI37" s="506">
        <v>100</v>
      </c>
      <c r="BJ37" s="506">
        <v>100</v>
      </c>
      <c r="BK37" s="506">
        <v>100</v>
      </c>
      <c r="BL37" s="506">
        <v>100</v>
      </c>
      <c r="BM37" s="508">
        <v>100</v>
      </c>
    </row>
    <row r="38" spans="1:65" ht="17" thickBot="1">
      <c r="E38" s="641" t="s">
        <v>83</v>
      </c>
      <c r="F38" s="641"/>
      <c r="G38" s="641"/>
      <c r="H38" s="641"/>
      <c r="I38" s="642" t="s">
        <v>84</v>
      </c>
      <c r="J38" s="643"/>
      <c r="K38" s="643"/>
      <c r="L38" s="643"/>
    </row>
    <row r="39" spans="1:65" s="14" customFormat="1" ht="21">
      <c r="A39" s="20" t="s">
        <v>31</v>
      </c>
      <c r="B39" s="29">
        <v>26</v>
      </c>
      <c r="C39" s="26">
        <f t="shared" ref="C39:AH39" si="60">C2</f>
        <v>2</v>
      </c>
      <c r="D39" s="129">
        <f t="shared" si="60"/>
        <v>3</v>
      </c>
      <c r="E39" s="130">
        <f t="shared" si="60"/>
        <v>4</v>
      </c>
      <c r="F39" s="24">
        <f t="shared" si="60"/>
        <v>5</v>
      </c>
      <c r="G39" s="24">
        <f t="shared" si="60"/>
        <v>6</v>
      </c>
      <c r="H39" s="129">
        <f t="shared" si="60"/>
        <v>7</v>
      </c>
      <c r="I39" s="130">
        <f t="shared" si="60"/>
        <v>8</v>
      </c>
      <c r="J39" s="131">
        <f t="shared" si="60"/>
        <v>9</v>
      </c>
      <c r="K39" s="24">
        <f t="shared" si="60"/>
        <v>10</v>
      </c>
      <c r="L39" s="24">
        <f t="shared" si="60"/>
        <v>11</v>
      </c>
      <c r="M39" s="24">
        <f t="shared" si="60"/>
        <v>12</v>
      </c>
      <c r="N39" s="24">
        <f t="shared" si="60"/>
        <v>13</v>
      </c>
      <c r="O39" s="24">
        <f t="shared" si="60"/>
        <v>14</v>
      </c>
      <c r="P39" s="24">
        <f t="shared" si="60"/>
        <v>15</v>
      </c>
      <c r="Q39" s="24">
        <f t="shared" si="60"/>
        <v>16</v>
      </c>
      <c r="R39" s="24">
        <f t="shared" si="60"/>
        <v>17</v>
      </c>
      <c r="S39" s="24">
        <f t="shared" si="60"/>
        <v>18</v>
      </c>
      <c r="T39" s="24">
        <f t="shared" si="60"/>
        <v>19</v>
      </c>
      <c r="U39" s="24">
        <f t="shared" si="60"/>
        <v>20</v>
      </c>
      <c r="V39" s="24">
        <f t="shared" si="60"/>
        <v>21</v>
      </c>
      <c r="W39" s="24">
        <f t="shared" si="60"/>
        <v>22</v>
      </c>
      <c r="X39" s="395">
        <f t="shared" si="60"/>
        <v>23</v>
      </c>
      <c r="Y39" s="395">
        <f t="shared" si="60"/>
        <v>24</v>
      </c>
      <c r="Z39" s="24">
        <f t="shared" si="60"/>
        <v>25</v>
      </c>
      <c r="AA39" s="24">
        <f t="shared" si="60"/>
        <v>26</v>
      </c>
      <c r="AB39" s="24">
        <f t="shared" si="60"/>
        <v>27</v>
      </c>
      <c r="AC39" s="24">
        <f t="shared" si="60"/>
        <v>28</v>
      </c>
      <c r="AD39" s="24">
        <f t="shared" si="60"/>
        <v>29</v>
      </c>
      <c r="AE39" s="24">
        <f t="shared" si="60"/>
        <v>30</v>
      </c>
      <c r="AF39" s="395">
        <f t="shared" si="60"/>
        <v>31</v>
      </c>
      <c r="AG39" s="395">
        <f t="shared" si="60"/>
        <v>32</v>
      </c>
      <c r="AH39" s="24">
        <f t="shared" si="60"/>
        <v>33</v>
      </c>
      <c r="AI39" s="24">
        <f t="shared" ref="AI39:BM39" si="61">AI2</f>
        <v>34</v>
      </c>
      <c r="AJ39" s="24">
        <f t="shared" si="61"/>
        <v>35</v>
      </c>
      <c r="AK39" s="24">
        <f t="shared" si="61"/>
        <v>36</v>
      </c>
      <c r="AL39" s="24">
        <f t="shared" si="61"/>
        <v>37</v>
      </c>
      <c r="AM39" s="24">
        <f t="shared" si="61"/>
        <v>38</v>
      </c>
      <c r="AN39" s="24">
        <f t="shared" si="61"/>
        <v>39</v>
      </c>
      <c r="AO39" s="24">
        <f t="shared" si="61"/>
        <v>40</v>
      </c>
      <c r="AP39" s="24">
        <f t="shared" si="61"/>
        <v>41</v>
      </c>
      <c r="AQ39" s="24">
        <f t="shared" si="61"/>
        <v>42</v>
      </c>
      <c r="AR39" s="24">
        <f t="shared" si="61"/>
        <v>43</v>
      </c>
      <c r="AS39" s="24">
        <f t="shared" si="61"/>
        <v>44</v>
      </c>
      <c r="AT39" s="24">
        <f t="shared" si="61"/>
        <v>45</v>
      </c>
      <c r="AU39" s="24">
        <f t="shared" si="61"/>
        <v>46</v>
      </c>
      <c r="AV39" s="24">
        <f t="shared" si="61"/>
        <v>47</v>
      </c>
      <c r="AW39" s="24">
        <f t="shared" si="61"/>
        <v>48</v>
      </c>
      <c r="AX39" s="24">
        <f t="shared" si="61"/>
        <v>49</v>
      </c>
      <c r="AY39" s="24">
        <f t="shared" si="61"/>
        <v>50</v>
      </c>
      <c r="AZ39" s="24">
        <f t="shared" si="61"/>
        <v>51</v>
      </c>
      <c r="BA39" s="24">
        <f t="shared" si="61"/>
        <v>52</v>
      </c>
      <c r="BB39" s="24">
        <f t="shared" si="61"/>
        <v>53</v>
      </c>
      <c r="BC39" s="24">
        <f t="shared" si="61"/>
        <v>54</v>
      </c>
      <c r="BD39" s="24">
        <f t="shared" si="61"/>
        <v>55</v>
      </c>
      <c r="BE39" s="24">
        <f t="shared" si="61"/>
        <v>56</v>
      </c>
      <c r="BF39" s="24">
        <f t="shared" si="61"/>
        <v>57</v>
      </c>
      <c r="BG39" s="24">
        <f t="shared" si="61"/>
        <v>58</v>
      </c>
      <c r="BH39" s="24">
        <f t="shared" si="61"/>
        <v>59</v>
      </c>
      <c r="BI39" s="24">
        <f t="shared" si="61"/>
        <v>60</v>
      </c>
      <c r="BJ39" s="24">
        <f t="shared" si="61"/>
        <v>61</v>
      </c>
      <c r="BK39" s="24">
        <f t="shared" si="61"/>
        <v>62</v>
      </c>
      <c r="BL39" s="24">
        <f t="shared" si="61"/>
        <v>63</v>
      </c>
      <c r="BM39" s="25">
        <f t="shared" si="61"/>
        <v>64</v>
      </c>
    </row>
    <row r="40" spans="1:65" s="45" customFormat="1" ht="19" thickBot="1">
      <c r="A40" s="646" t="s">
        <v>38</v>
      </c>
      <c r="B40" s="647"/>
      <c r="C40" s="469">
        <f>SUM(C39*$B39)</f>
        <v>52</v>
      </c>
      <c r="D40" s="470">
        <f>SUM(D39*$B39)</f>
        <v>78</v>
      </c>
      <c r="E40" s="471">
        <f>SUM(E39*$B39)</f>
        <v>104</v>
      </c>
      <c r="F40" s="472">
        <f>SUM(F39*$B39)</f>
        <v>130</v>
      </c>
      <c r="G40" s="472">
        <f t="shared" ref="G40:BM40" si="62">SUM(G39*$B39)</f>
        <v>156</v>
      </c>
      <c r="H40" s="470">
        <f t="shared" si="62"/>
        <v>182</v>
      </c>
      <c r="I40" s="471">
        <f t="shared" si="62"/>
        <v>208</v>
      </c>
      <c r="J40" s="473">
        <f t="shared" si="62"/>
        <v>234</v>
      </c>
      <c r="K40" s="472">
        <f t="shared" si="62"/>
        <v>260</v>
      </c>
      <c r="L40" s="472">
        <f t="shared" si="62"/>
        <v>286</v>
      </c>
      <c r="M40" s="472">
        <f t="shared" si="62"/>
        <v>312</v>
      </c>
      <c r="N40" s="472">
        <f t="shared" si="62"/>
        <v>338</v>
      </c>
      <c r="O40" s="472">
        <f t="shared" si="62"/>
        <v>364</v>
      </c>
      <c r="P40" s="472">
        <f t="shared" si="62"/>
        <v>390</v>
      </c>
      <c r="Q40" s="472">
        <f t="shared" si="62"/>
        <v>416</v>
      </c>
      <c r="R40" s="472">
        <f t="shared" si="62"/>
        <v>442</v>
      </c>
      <c r="S40" s="472">
        <f t="shared" si="62"/>
        <v>468</v>
      </c>
      <c r="T40" s="472">
        <f t="shared" si="62"/>
        <v>494</v>
      </c>
      <c r="U40" s="472">
        <f t="shared" si="62"/>
        <v>520</v>
      </c>
      <c r="V40" s="472">
        <f t="shared" si="62"/>
        <v>546</v>
      </c>
      <c r="W40" s="472">
        <f t="shared" si="62"/>
        <v>572</v>
      </c>
      <c r="X40" s="474">
        <f>SUM(X39*$B39)</f>
        <v>598</v>
      </c>
      <c r="Y40" s="474">
        <f>SUM(Y39*$B39)</f>
        <v>624</v>
      </c>
      <c r="Z40" s="472">
        <f t="shared" si="62"/>
        <v>650</v>
      </c>
      <c r="AA40" s="472">
        <f t="shared" si="62"/>
        <v>676</v>
      </c>
      <c r="AB40" s="472">
        <f t="shared" si="62"/>
        <v>702</v>
      </c>
      <c r="AC40" s="472">
        <f t="shared" si="62"/>
        <v>728</v>
      </c>
      <c r="AD40" s="472">
        <f t="shared" si="62"/>
        <v>754</v>
      </c>
      <c r="AE40" s="472">
        <f t="shared" si="62"/>
        <v>780</v>
      </c>
      <c r="AF40" s="474">
        <f>SUM(AF39*$B39)</f>
        <v>806</v>
      </c>
      <c r="AG40" s="474">
        <f>SUM(AG39*$B39)</f>
        <v>832</v>
      </c>
      <c r="AH40" s="474">
        <f>SUM(AH39*$B39)</f>
        <v>858</v>
      </c>
      <c r="AI40" s="472">
        <f t="shared" si="62"/>
        <v>884</v>
      </c>
      <c r="AJ40" s="472">
        <f t="shared" si="62"/>
        <v>910</v>
      </c>
      <c r="AK40" s="472">
        <f t="shared" si="62"/>
        <v>936</v>
      </c>
      <c r="AL40" s="472">
        <f t="shared" si="62"/>
        <v>962</v>
      </c>
      <c r="AM40" s="472">
        <f t="shared" si="62"/>
        <v>988</v>
      </c>
      <c r="AN40" s="472">
        <f t="shared" si="62"/>
        <v>1014</v>
      </c>
      <c r="AO40" s="472">
        <f t="shared" si="62"/>
        <v>1040</v>
      </c>
      <c r="AP40" s="472">
        <f t="shared" si="62"/>
        <v>1066</v>
      </c>
      <c r="AQ40" s="472">
        <f t="shared" si="62"/>
        <v>1092</v>
      </c>
      <c r="AR40" s="472">
        <f t="shared" si="62"/>
        <v>1118</v>
      </c>
      <c r="AS40" s="472">
        <f t="shared" si="62"/>
        <v>1144</v>
      </c>
      <c r="AT40" s="472">
        <f t="shared" si="62"/>
        <v>1170</v>
      </c>
      <c r="AU40" s="472">
        <f t="shared" si="62"/>
        <v>1196</v>
      </c>
      <c r="AV40" s="472">
        <f t="shared" si="62"/>
        <v>1222</v>
      </c>
      <c r="AW40" s="472">
        <f t="shared" si="62"/>
        <v>1248</v>
      </c>
      <c r="AX40" s="472">
        <f t="shared" si="62"/>
        <v>1274</v>
      </c>
      <c r="AY40" s="472">
        <f t="shared" si="62"/>
        <v>1300</v>
      </c>
      <c r="AZ40" s="472">
        <f t="shared" si="62"/>
        <v>1326</v>
      </c>
      <c r="BA40" s="472">
        <f t="shared" si="62"/>
        <v>1352</v>
      </c>
      <c r="BB40" s="472">
        <f t="shared" si="62"/>
        <v>1378</v>
      </c>
      <c r="BC40" s="472">
        <f t="shared" si="62"/>
        <v>1404</v>
      </c>
      <c r="BD40" s="472">
        <f t="shared" si="62"/>
        <v>1430</v>
      </c>
      <c r="BE40" s="472">
        <f t="shared" si="62"/>
        <v>1456</v>
      </c>
      <c r="BF40" s="472">
        <f t="shared" si="62"/>
        <v>1482</v>
      </c>
      <c r="BG40" s="472">
        <f t="shared" si="62"/>
        <v>1508</v>
      </c>
      <c r="BH40" s="472">
        <f t="shared" si="62"/>
        <v>1534</v>
      </c>
      <c r="BI40" s="472">
        <f t="shared" si="62"/>
        <v>1560</v>
      </c>
      <c r="BJ40" s="472">
        <f t="shared" si="62"/>
        <v>1586</v>
      </c>
      <c r="BK40" s="472">
        <f t="shared" si="62"/>
        <v>1612</v>
      </c>
      <c r="BL40" s="472">
        <f t="shared" si="62"/>
        <v>1638</v>
      </c>
      <c r="BM40" s="475">
        <f t="shared" si="62"/>
        <v>1664</v>
      </c>
    </row>
    <row r="41" spans="1:65" s="500" customFormat="1" ht="20.25" customHeight="1">
      <c r="A41" s="485" t="s">
        <v>56</v>
      </c>
      <c r="B41" s="486">
        <v>18</v>
      </c>
      <c r="C41" s="487" t="s">
        <v>40</v>
      </c>
      <c r="D41" s="488" t="s">
        <v>40</v>
      </c>
      <c r="E41" s="489">
        <f t="shared" ref="E41:P41" si="63">E40</f>
        <v>104</v>
      </c>
      <c r="F41" s="490">
        <f t="shared" si="63"/>
        <v>130</v>
      </c>
      <c r="G41" s="491">
        <f t="shared" si="63"/>
        <v>156</v>
      </c>
      <c r="H41" s="492">
        <f t="shared" si="63"/>
        <v>182</v>
      </c>
      <c r="I41" s="493">
        <f t="shared" si="63"/>
        <v>208</v>
      </c>
      <c r="J41" s="494">
        <f t="shared" si="63"/>
        <v>234</v>
      </c>
      <c r="K41" s="495">
        <f t="shared" si="63"/>
        <v>260</v>
      </c>
      <c r="L41" s="495">
        <f t="shared" si="63"/>
        <v>286</v>
      </c>
      <c r="M41" s="495">
        <f t="shared" si="63"/>
        <v>312</v>
      </c>
      <c r="N41" s="495">
        <f t="shared" si="63"/>
        <v>338</v>
      </c>
      <c r="O41" s="495">
        <f t="shared" si="63"/>
        <v>364</v>
      </c>
      <c r="P41" s="495">
        <f t="shared" si="63"/>
        <v>390</v>
      </c>
      <c r="Q41" s="496">
        <f t="shared" ref="Q41:AV41" si="64">SUM($B41*Q39)</f>
        <v>288</v>
      </c>
      <c r="R41" s="497">
        <f t="shared" si="64"/>
        <v>306</v>
      </c>
      <c r="S41" s="497">
        <f t="shared" si="64"/>
        <v>324</v>
      </c>
      <c r="T41" s="497">
        <f t="shared" si="64"/>
        <v>342</v>
      </c>
      <c r="U41" s="497">
        <f t="shared" si="64"/>
        <v>360</v>
      </c>
      <c r="V41" s="497">
        <f t="shared" si="64"/>
        <v>378</v>
      </c>
      <c r="W41" s="497">
        <f t="shared" si="64"/>
        <v>396</v>
      </c>
      <c r="X41" s="491">
        <f>SUM($B41*X39)</f>
        <v>414</v>
      </c>
      <c r="Y41" s="491">
        <f>SUM($B41*Y39)</f>
        <v>432</v>
      </c>
      <c r="Z41" s="497">
        <f t="shared" si="64"/>
        <v>450</v>
      </c>
      <c r="AA41" s="497">
        <f t="shared" si="64"/>
        <v>468</v>
      </c>
      <c r="AB41" s="497">
        <f t="shared" si="64"/>
        <v>486</v>
      </c>
      <c r="AC41" s="497">
        <f t="shared" si="64"/>
        <v>504</v>
      </c>
      <c r="AD41" s="497">
        <f t="shared" si="64"/>
        <v>522</v>
      </c>
      <c r="AE41" s="497">
        <f t="shared" si="64"/>
        <v>540</v>
      </c>
      <c r="AF41" s="495">
        <f t="shared" si="64"/>
        <v>558</v>
      </c>
      <c r="AG41" s="498">
        <f>SUM($B41*AG39)</f>
        <v>576</v>
      </c>
      <c r="AH41" s="497">
        <f t="shared" si="64"/>
        <v>594</v>
      </c>
      <c r="AI41" s="497">
        <f t="shared" si="64"/>
        <v>612</v>
      </c>
      <c r="AJ41" s="497">
        <f t="shared" si="64"/>
        <v>630</v>
      </c>
      <c r="AK41" s="497">
        <f t="shared" si="64"/>
        <v>648</v>
      </c>
      <c r="AL41" s="497">
        <f t="shared" si="64"/>
        <v>666</v>
      </c>
      <c r="AM41" s="497">
        <f t="shared" si="64"/>
        <v>684</v>
      </c>
      <c r="AN41" s="497">
        <f t="shared" si="64"/>
        <v>702</v>
      </c>
      <c r="AO41" s="497">
        <f t="shared" si="64"/>
        <v>720</v>
      </c>
      <c r="AP41" s="497">
        <f t="shared" si="64"/>
        <v>738</v>
      </c>
      <c r="AQ41" s="497">
        <f t="shared" si="64"/>
        <v>756</v>
      </c>
      <c r="AR41" s="497">
        <f t="shared" si="64"/>
        <v>774</v>
      </c>
      <c r="AS41" s="497">
        <f t="shared" si="64"/>
        <v>792</v>
      </c>
      <c r="AT41" s="497">
        <f t="shared" si="64"/>
        <v>810</v>
      </c>
      <c r="AU41" s="497">
        <f t="shared" si="64"/>
        <v>828</v>
      </c>
      <c r="AV41" s="495">
        <f t="shared" si="64"/>
        <v>846</v>
      </c>
      <c r="AW41" s="498">
        <f t="shared" ref="AW41:BM41" si="65">SUM($B41*AW39)</f>
        <v>864</v>
      </c>
      <c r="AX41" s="497">
        <f t="shared" si="65"/>
        <v>882</v>
      </c>
      <c r="AY41" s="497">
        <f t="shared" si="65"/>
        <v>900</v>
      </c>
      <c r="AZ41" s="497">
        <f t="shared" si="65"/>
        <v>918</v>
      </c>
      <c r="BA41" s="497">
        <f t="shared" si="65"/>
        <v>936</v>
      </c>
      <c r="BB41" s="497">
        <f t="shared" si="65"/>
        <v>954</v>
      </c>
      <c r="BC41" s="497">
        <f t="shared" si="65"/>
        <v>972</v>
      </c>
      <c r="BD41" s="497">
        <f t="shared" si="65"/>
        <v>990</v>
      </c>
      <c r="BE41" s="497">
        <f t="shared" si="65"/>
        <v>1008</v>
      </c>
      <c r="BF41" s="497">
        <f t="shared" si="65"/>
        <v>1026</v>
      </c>
      <c r="BG41" s="497">
        <f t="shared" si="65"/>
        <v>1044</v>
      </c>
      <c r="BH41" s="497">
        <f t="shared" si="65"/>
        <v>1062</v>
      </c>
      <c r="BI41" s="497">
        <f t="shared" si="65"/>
        <v>1080</v>
      </c>
      <c r="BJ41" s="497">
        <f t="shared" si="65"/>
        <v>1098</v>
      </c>
      <c r="BK41" s="497">
        <f t="shared" si="65"/>
        <v>1116</v>
      </c>
      <c r="BL41" s="497">
        <f t="shared" si="65"/>
        <v>1134</v>
      </c>
      <c r="BM41" s="499">
        <f t="shared" si="65"/>
        <v>1152</v>
      </c>
    </row>
    <row r="42" spans="1:65" s="5" customFormat="1" ht="16" customHeight="1">
      <c r="A42" s="638" t="s">
        <v>85</v>
      </c>
      <c r="B42" s="432">
        <v>1</v>
      </c>
      <c r="C42" s="457" t="s">
        <v>40</v>
      </c>
      <c r="D42" s="458" t="s">
        <v>40</v>
      </c>
      <c r="E42" s="436">
        <f t="shared" ref="E42:H42" si="66">E41</f>
        <v>104</v>
      </c>
      <c r="F42" s="134">
        <f t="shared" si="66"/>
        <v>130</v>
      </c>
      <c r="G42" s="134">
        <f t="shared" si="66"/>
        <v>156</v>
      </c>
      <c r="H42" s="135">
        <f t="shared" si="66"/>
        <v>182</v>
      </c>
      <c r="I42" s="389">
        <f t="shared" ref="I42:AN42" si="67">SUM(I41/I51)</f>
        <v>104</v>
      </c>
      <c r="J42" s="390">
        <f t="shared" si="67"/>
        <v>117</v>
      </c>
      <c r="K42" s="390">
        <f t="shared" si="67"/>
        <v>130</v>
      </c>
      <c r="L42" s="390">
        <f t="shared" si="67"/>
        <v>143</v>
      </c>
      <c r="M42" s="390">
        <f t="shared" si="67"/>
        <v>156</v>
      </c>
      <c r="N42" s="390">
        <f t="shared" si="67"/>
        <v>169</v>
      </c>
      <c r="O42" s="390">
        <f t="shared" si="67"/>
        <v>182</v>
      </c>
      <c r="P42" s="390">
        <f t="shared" si="67"/>
        <v>195</v>
      </c>
      <c r="Q42" s="390">
        <f t="shared" si="67"/>
        <v>144</v>
      </c>
      <c r="R42" s="390">
        <f t="shared" si="67"/>
        <v>153</v>
      </c>
      <c r="S42" s="390">
        <f t="shared" si="67"/>
        <v>162</v>
      </c>
      <c r="T42" s="390">
        <f t="shared" si="67"/>
        <v>171</v>
      </c>
      <c r="U42" s="390">
        <f t="shared" si="67"/>
        <v>180</v>
      </c>
      <c r="V42" s="390">
        <f t="shared" si="67"/>
        <v>189</v>
      </c>
      <c r="W42" s="390">
        <f t="shared" si="67"/>
        <v>198</v>
      </c>
      <c r="X42" s="390">
        <f t="shared" si="67"/>
        <v>207</v>
      </c>
      <c r="Y42" s="390">
        <f t="shared" si="67"/>
        <v>216</v>
      </c>
      <c r="Z42" s="390">
        <f t="shared" si="67"/>
        <v>225</v>
      </c>
      <c r="AA42" s="390">
        <f t="shared" si="67"/>
        <v>234</v>
      </c>
      <c r="AB42" s="390">
        <f t="shared" si="67"/>
        <v>243</v>
      </c>
      <c r="AC42" s="390">
        <f t="shared" si="67"/>
        <v>252</v>
      </c>
      <c r="AD42" s="390">
        <f t="shared" si="67"/>
        <v>261</v>
      </c>
      <c r="AE42" s="390">
        <f t="shared" si="67"/>
        <v>270</v>
      </c>
      <c r="AF42" s="390">
        <f t="shared" si="67"/>
        <v>279</v>
      </c>
      <c r="AG42" s="393">
        <f t="shared" si="67"/>
        <v>192</v>
      </c>
      <c r="AH42" s="390">
        <f t="shared" si="67"/>
        <v>198</v>
      </c>
      <c r="AI42" s="390">
        <f t="shared" si="67"/>
        <v>204</v>
      </c>
      <c r="AJ42" s="390">
        <f t="shared" si="67"/>
        <v>210</v>
      </c>
      <c r="AK42" s="390">
        <f t="shared" si="67"/>
        <v>216</v>
      </c>
      <c r="AL42" s="390">
        <f t="shared" si="67"/>
        <v>222</v>
      </c>
      <c r="AM42" s="390">
        <f t="shared" si="67"/>
        <v>228</v>
      </c>
      <c r="AN42" s="390">
        <f t="shared" si="67"/>
        <v>234</v>
      </c>
      <c r="AO42" s="390">
        <f t="shared" ref="AO42:BM42" si="68">SUM(AO41/AO51)</f>
        <v>240</v>
      </c>
      <c r="AP42" s="390">
        <f t="shared" si="68"/>
        <v>246</v>
      </c>
      <c r="AQ42" s="390">
        <f t="shared" si="68"/>
        <v>252</v>
      </c>
      <c r="AR42" s="390">
        <f t="shared" si="68"/>
        <v>258</v>
      </c>
      <c r="AS42" s="390">
        <f t="shared" si="68"/>
        <v>264</v>
      </c>
      <c r="AT42" s="390">
        <f t="shared" si="68"/>
        <v>270</v>
      </c>
      <c r="AU42" s="390">
        <f t="shared" si="68"/>
        <v>276</v>
      </c>
      <c r="AV42" s="391">
        <f t="shared" si="68"/>
        <v>282</v>
      </c>
      <c r="AW42" s="393">
        <f t="shared" si="68"/>
        <v>216</v>
      </c>
      <c r="AX42" s="390">
        <f t="shared" si="68"/>
        <v>220.5</v>
      </c>
      <c r="AY42" s="390">
        <f t="shared" si="68"/>
        <v>225</v>
      </c>
      <c r="AZ42" s="390">
        <f t="shared" si="68"/>
        <v>229.5</v>
      </c>
      <c r="BA42" s="390">
        <f t="shared" si="68"/>
        <v>234</v>
      </c>
      <c r="BB42" s="390">
        <f t="shared" si="68"/>
        <v>238.5</v>
      </c>
      <c r="BC42" s="390">
        <f t="shared" si="68"/>
        <v>243</v>
      </c>
      <c r="BD42" s="390">
        <f t="shared" si="68"/>
        <v>247.5</v>
      </c>
      <c r="BE42" s="390">
        <f t="shared" si="68"/>
        <v>252</v>
      </c>
      <c r="BF42" s="390">
        <f t="shared" si="68"/>
        <v>256.5</v>
      </c>
      <c r="BG42" s="390">
        <f t="shared" si="68"/>
        <v>261</v>
      </c>
      <c r="BH42" s="390">
        <f t="shared" si="68"/>
        <v>265.5</v>
      </c>
      <c r="BI42" s="390">
        <f t="shared" si="68"/>
        <v>270</v>
      </c>
      <c r="BJ42" s="390">
        <f t="shared" si="68"/>
        <v>274.5</v>
      </c>
      <c r="BK42" s="390">
        <f t="shared" si="68"/>
        <v>279</v>
      </c>
      <c r="BL42" s="390">
        <f t="shared" si="68"/>
        <v>283.5</v>
      </c>
      <c r="BM42" s="400">
        <f t="shared" si="68"/>
        <v>288</v>
      </c>
    </row>
    <row r="43" spans="1:65" s="5" customFormat="1" ht="14.25" customHeight="1">
      <c r="A43" s="639"/>
      <c r="B43" s="433">
        <v>2</v>
      </c>
      <c r="C43" s="411" t="s">
        <v>40</v>
      </c>
      <c r="D43" s="412" t="s">
        <v>40</v>
      </c>
      <c r="E43" s="437">
        <f>SUM(E41/2)</f>
        <v>52</v>
      </c>
      <c r="F43" s="136">
        <f>SUM(F41/2)</f>
        <v>65</v>
      </c>
      <c r="G43" s="136">
        <f>SUM(G41/2)</f>
        <v>78</v>
      </c>
      <c r="H43" s="137">
        <f t="shared" ref="H43" si="69">SUM(H41/2)</f>
        <v>91</v>
      </c>
      <c r="I43" s="132">
        <f t="shared" ref="I43:R50" si="70">SUM(I$42/$B43)</f>
        <v>52</v>
      </c>
      <c r="J43" s="265">
        <f t="shared" si="70"/>
        <v>58.5</v>
      </c>
      <c r="K43" s="265">
        <f t="shared" si="70"/>
        <v>65</v>
      </c>
      <c r="L43" s="265">
        <f t="shared" si="70"/>
        <v>71.5</v>
      </c>
      <c r="M43" s="265">
        <f t="shared" si="70"/>
        <v>78</v>
      </c>
      <c r="N43" s="265">
        <f t="shared" si="70"/>
        <v>84.5</v>
      </c>
      <c r="O43" s="265">
        <f t="shared" si="70"/>
        <v>91</v>
      </c>
      <c r="P43" s="265">
        <f t="shared" si="70"/>
        <v>97.5</v>
      </c>
      <c r="Q43" s="265">
        <f t="shared" si="70"/>
        <v>72</v>
      </c>
      <c r="R43" s="265">
        <f t="shared" si="70"/>
        <v>76.5</v>
      </c>
      <c r="S43" s="265">
        <f t="shared" ref="S43:AB50" si="71">SUM(S$42/$B43)</f>
        <v>81</v>
      </c>
      <c r="T43" s="265">
        <f t="shared" si="71"/>
        <v>85.5</v>
      </c>
      <c r="U43" s="265">
        <f t="shared" si="71"/>
        <v>90</v>
      </c>
      <c r="V43" s="265">
        <f t="shared" si="71"/>
        <v>94.5</v>
      </c>
      <c r="W43" s="265">
        <f t="shared" si="71"/>
        <v>99</v>
      </c>
      <c r="X43" s="265">
        <f t="shared" si="71"/>
        <v>103.5</v>
      </c>
      <c r="Y43" s="265">
        <f t="shared" si="71"/>
        <v>108</v>
      </c>
      <c r="Z43" s="265">
        <f t="shared" si="71"/>
        <v>112.5</v>
      </c>
      <c r="AA43" s="265">
        <f t="shared" si="71"/>
        <v>117</v>
      </c>
      <c r="AB43" s="265">
        <f t="shared" si="71"/>
        <v>121.5</v>
      </c>
      <c r="AC43" s="265">
        <f t="shared" ref="AC43:AL50" si="72">SUM(AC$42/$B43)</f>
        <v>126</v>
      </c>
      <c r="AD43" s="265">
        <f t="shared" si="72"/>
        <v>130.5</v>
      </c>
      <c r="AE43" s="265">
        <f t="shared" si="72"/>
        <v>135</v>
      </c>
      <c r="AF43" s="265">
        <f t="shared" si="72"/>
        <v>139.5</v>
      </c>
      <c r="AG43" s="257">
        <f t="shared" si="72"/>
        <v>96</v>
      </c>
      <c r="AH43" s="265">
        <f t="shared" si="72"/>
        <v>99</v>
      </c>
      <c r="AI43" s="265">
        <f t="shared" si="72"/>
        <v>102</v>
      </c>
      <c r="AJ43" s="265">
        <f t="shared" si="72"/>
        <v>105</v>
      </c>
      <c r="AK43" s="265">
        <f t="shared" si="72"/>
        <v>108</v>
      </c>
      <c r="AL43" s="265">
        <f t="shared" si="72"/>
        <v>111</v>
      </c>
      <c r="AM43" s="265">
        <f t="shared" ref="AM43:AV50" si="73">SUM(AM$42/$B43)</f>
        <v>114</v>
      </c>
      <c r="AN43" s="265">
        <f t="shared" si="73"/>
        <v>117</v>
      </c>
      <c r="AO43" s="265">
        <f t="shared" si="73"/>
        <v>120</v>
      </c>
      <c r="AP43" s="265">
        <f t="shared" si="73"/>
        <v>123</v>
      </c>
      <c r="AQ43" s="265">
        <f t="shared" si="73"/>
        <v>126</v>
      </c>
      <c r="AR43" s="265">
        <f t="shared" si="73"/>
        <v>129</v>
      </c>
      <c r="AS43" s="265">
        <f t="shared" si="73"/>
        <v>132</v>
      </c>
      <c r="AT43" s="265">
        <f t="shared" si="73"/>
        <v>135</v>
      </c>
      <c r="AU43" s="265">
        <f t="shared" si="73"/>
        <v>138</v>
      </c>
      <c r="AV43" s="308">
        <f t="shared" si="73"/>
        <v>141</v>
      </c>
      <c r="AW43" s="257">
        <f t="shared" ref="AW43:BF50" si="74">SUM(AW$42/$B43)</f>
        <v>108</v>
      </c>
      <c r="AX43" s="265">
        <f t="shared" si="74"/>
        <v>110.25</v>
      </c>
      <c r="AY43" s="265">
        <f t="shared" si="74"/>
        <v>112.5</v>
      </c>
      <c r="AZ43" s="265">
        <f t="shared" si="74"/>
        <v>114.75</v>
      </c>
      <c r="BA43" s="265">
        <f t="shared" si="74"/>
        <v>117</v>
      </c>
      <c r="BB43" s="265">
        <f t="shared" si="74"/>
        <v>119.25</v>
      </c>
      <c r="BC43" s="265">
        <f t="shared" si="74"/>
        <v>121.5</v>
      </c>
      <c r="BD43" s="265">
        <f t="shared" si="74"/>
        <v>123.75</v>
      </c>
      <c r="BE43" s="265">
        <f t="shared" si="74"/>
        <v>126</v>
      </c>
      <c r="BF43" s="265">
        <f t="shared" si="74"/>
        <v>128.25</v>
      </c>
      <c r="BG43" s="265">
        <f t="shared" ref="BG43:BM50" si="75">SUM(BG$42/$B43)</f>
        <v>130.5</v>
      </c>
      <c r="BH43" s="265">
        <f t="shared" si="75"/>
        <v>132.75</v>
      </c>
      <c r="BI43" s="265">
        <f t="shared" si="75"/>
        <v>135</v>
      </c>
      <c r="BJ43" s="265">
        <f t="shared" si="75"/>
        <v>137.25</v>
      </c>
      <c r="BK43" s="265">
        <f t="shared" si="75"/>
        <v>139.5</v>
      </c>
      <c r="BL43" s="265">
        <f t="shared" si="75"/>
        <v>141.75</v>
      </c>
      <c r="BM43" s="266">
        <f t="shared" si="75"/>
        <v>144</v>
      </c>
    </row>
    <row r="44" spans="1:65" s="5" customFormat="1" ht="14.25" customHeight="1">
      <c r="A44" s="639"/>
      <c r="B44" s="433">
        <v>3</v>
      </c>
      <c r="C44" s="411" t="s">
        <v>40</v>
      </c>
      <c r="D44" s="412" t="s">
        <v>40</v>
      </c>
      <c r="E44" s="437">
        <f t="shared" ref="E44:H44" si="76">SUM(E41/3)</f>
        <v>34.666666666666664</v>
      </c>
      <c r="F44" s="136">
        <f t="shared" si="76"/>
        <v>43.333333333333336</v>
      </c>
      <c r="G44" s="136">
        <f t="shared" si="76"/>
        <v>52</v>
      </c>
      <c r="H44" s="137">
        <f t="shared" si="76"/>
        <v>60.666666666666664</v>
      </c>
      <c r="I44" s="132">
        <f t="shared" si="70"/>
        <v>34.666666666666664</v>
      </c>
      <c r="J44" s="265">
        <f t="shared" si="70"/>
        <v>39</v>
      </c>
      <c r="K44" s="265">
        <f t="shared" si="70"/>
        <v>43.333333333333336</v>
      </c>
      <c r="L44" s="265">
        <f t="shared" si="70"/>
        <v>47.666666666666664</v>
      </c>
      <c r="M44" s="265">
        <f t="shared" si="70"/>
        <v>52</v>
      </c>
      <c r="N44" s="265">
        <f t="shared" si="70"/>
        <v>56.333333333333336</v>
      </c>
      <c r="O44" s="265">
        <f t="shared" si="70"/>
        <v>60.666666666666664</v>
      </c>
      <c r="P44" s="265">
        <f t="shared" si="70"/>
        <v>65</v>
      </c>
      <c r="Q44" s="265">
        <f t="shared" si="70"/>
        <v>48</v>
      </c>
      <c r="R44" s="265">
        <f t="shared" si="70"/>
        <v>51</v>
      </c>
      <c r="S44" s="265">
        <f t="shared" si="71"/>
        <v>54</v>
      </c>
      <c r="T44" s="144">
        <f t="shared" si="71"/>
        <v>57</v>
      </c>
      <c r="U44" s="144">
        <f t="shared" si="71"/>
        <v>60</v>
      </c>
      <c r="V44" s="144">
        <f t="shared" si="71"/>
        <v>63</v>
      </c>
      <c r="W44" s="144">
        <f t="shared" si="71"/>
        <v>66</v>
      </c>
      <c r="X44" s="144">
        <f t="shared" si="71"/>
        <v>69</v>
      </c>
      <c r="Y44" s="144">
        <f t="shared" si="71"/>
        <v>72</v>
      </c>
      <c r="Z44" s="144">
        <f t="shared" si="71"/>
        <v>75</v>
      </c>
      <c r="AA44" s="144">
        <f t="shared" si="71"/>
        <v>78</v>
      </c>
      <c r="AB44" s="144">
        <f t="shared" si="71"/>
        <v>81</v>
      </c>
      <c r="AC44" s="144">
        <f t="shared" si="72"/>
        <v>84</v>
      </c>
      <c r="AD44" s="144">
        <f t="shared" si="72"/>
        <v>87</v>
      </c>
      <c r="AE44" s="144">
        <f t="shared" si="72"/>
        <v>90</v>
      </c>
      <c r="AF44" s="144">
        <f t="shared" si="72"/>
        <v>93</v>
      </c>
      <c r="AG44" s="257">
        <f t="shared" si="72"/>
        <v>64</v>
      </c>
      <c r="AH44" s="144">
        <f t="shared" si="72"/>
        <v>66</v>
      </c>
      <c r="AI44" s="144">
        <f t="shared" si="72"/>
        <v>68</v>
      </c>
      <c r="AJ44" s="144">
        <f t="shared" si="72"/>
        <v>70</v>
      </c>
      <c r="AK44" s="144">
        <f t="shared" si="72"/>
        <v>72</v>
      </c>
      <c r="AL44" s="144">
        <f t="shared" si="72"/>
        <v>74</v>
      </c>
      <c r="AM44" s="144">
        <f t="shared" si="73"/>
        <v>76</v>
      </c>
      <c r="AN44" s="144">
        <f t="shared" si="73"/>
        <v>78</v>
      </c>
      <c r="AO44" s="144">
        <f t="shared" si="73"/>
        <v>80</v>
      </c>
      <c r="AP44" s="144">
        <f t="shared" si="73"/>
        <v>82</v>
      </c>
      <c r="AQ44" s="144">
        <f t="shared" si="73"/>
        <v>84</v>
      </c>
      <c r="AR44" s="144">
        <f t="shared" si="73"/>
        <v>86</v>
      </c>
      <c r="AS44" s="144">
        <f t="shared" si="73"/>
        <v>88</v>
      </c>
      <c r="AT44" s="144">
        <f t="shared" si="73"/>
        <v>90</v>
      </c>
      <c r="AU44" s="144">
        <f t="shared" si="73"/>
        <v>92</v>
      </c>
      <c r="AV44" s="307">
        <f t="shared" si="73"/>
        <v>94</v>
      </c>
      <c r="AW44" s="132">
        <f t="shared" si="74"/>
        <v>72</v>
      </c>
      <c r="AX44" s="144">
        <f t="shared" si="74"/>
        <v>73.5</v>
      </c>
      <c r="AY44" s="144">
        <f t="shared" si="74"/>
        <v>75</v>
      </c>
      <c r="AZ44" s="144">
        <f t="shared" si="74"/>
        <v>76.5</v>
      </c>
      <c r="BA44" s="144">
        <f t="shared" si="74"/>
        <v>78</v>
      </c>
      <c r="BB44" s="144">
        <f t="shared" si="74"/>
        <v>79.5</v>
      </c>
      <c r="BC44" s="144">
        <f t="shared" si="74"/>
        <v>81</v>
      </c>
      <c r="BD44" s="144">
        <f t="shared" si="74"/>
        <v>82.5</v>
      </c>
      <c r="BE44" s="144">
        <f t="shared" si="74"/>
        <v>84</v>
      </c>
      <c r="BF44" s="144">
        <f t="shared" si="74"/>
        <v>85.5</v>
      </c>
      <c r="BG44" s="144">
        <f t="shared" si="75"/>
        <v>87</v>
      </c>
      <c r="BH44" s="144">
        <f t="shared" si="75"/>
        <v>88.5</v>
      </c>
      <c r="BI44" s="144">
        <f t="shared" si="75"/>
        <v>90</v>
      </c>
      <c r="BJ44" s="144">
        <f t="shared" si="75"/>
        <v>91.5</v>
      </c>
      <c r="BK44" s="144">
        <f t="shared" si="75"/>
        <v>93</v>
      </c>
      <c r="BL44" s="144">
        <f t="shared" si="75"/>
        <v>94.5</v>
      </c>
      <c r="BM44" s="266">
        <f t="shared" si="75"/>
        <v>96</v>
      </c>
    </row>
    <row r="45" spans="1:65" s="5" customFormat="1" ht="14.25" customHeight="1">
      <c r="A45" s="639"/>
      <c r="B45" s="433">
        <v>4</v>
      </c>
      <c r="C45" s="411" t="s">
        <v>40</v>
      </c>
      <c r="D45" s="412" t="s">
        <v>40</v>
      </c>
      <c r="E45" s="437">
        <f t="shared" ref="E45:H45" si="77">SUM(E41/4)</f>
        <v>26</v>
      </c>
      <c r="F45" s="136">
        <f t="shared" si="77"/>
        <v>32.5</v>
      </c>
      <c r="G45" s="136">
        <f t="shared" si="77"/>
        <v>39</v>
      </c>
      <c r="H45" s="137">
        <f t="shared" si="77"/>
        <v>45.5</v>
      </c>
      <c r="I45" s="132">
        <f t="shared" si="70"/>
        <v>26</v>
      </c>
      <c r="J45" s="265">
        <f t="shared" si="70"/>
        <v>29.25</v>
      </c>
      <c r="K45" s="265">
        <f t="shared" si="70"/>
        <v>32.5</v>
      </c>
      <c r="L45" s="265">
        <f t="shared" si="70"/>
        <v>35.75</v>
      </c>
      <c r="M45" s="265">
        <f t="shared" si="70"/>
        <v>39</v>
      </c>
      <c r="N45" s="265">
        <f t="shared" si="70"/>
        <v>42.25</v>
      </c>
      <c r="O45" s="265">
        <f t="shared" si="70"/>
        <v>45.5</v>
      </c>
      <c r="P45" s="265">
        <f t="shared" si="70"/>
        <v>48.75</v>
      </c>
      <c r="Q45" s="265">
        <f t="shared" si="70"/>
        <v>36</v>
      </c>
      <c r="R45" s="265">
        <f t="shared" si="70"/>
        <v>38.25</v>
      </c>
      <c r="S45" s="265">
        <f t="shared" si="71"/>
        <v>40.5</v>
      </c>
      <c r="T45" s="144">
        <f t="shared" si="71"/>
        <v>42.75</v>
      </c>
      <c r="U45" s="144">
        <f t="shared" si="71"/>
        <v>45</v>
      </c>
      <c r="V45" s="144">
        <f t="shared" si="71"/>
        <v>47.25</v>
      </c>
      <c r="W45" s="144">
        <f t="shared" si="71"/>
        <v>49.5</v>
      </c>
      <c r="X45" s="144">
        <f t="shared" si="71"/>
        <v>51.75</v>
      </c>
      <c r="Y45" s="144">
        <f t="shared" si="71"/>
        <v>54</v>
      </c>
      <c r="Z45" s="144">
        <f t="shared" si="71"/>
        <v>56.25</v>
      </c>
      <c r="AA45" s="144">
        <f t="shared" si="71"/>
        <v>58.5</v>
      </c>
      <c r="AB45" s="144">
        <f t="shared" si="71"/>
        <v>60.75</v>
      </c>
      <c r="AC45" s="144">
        <f t="shared" si="72"/>
        <v>63</v>
      </c>
      <c r="AD45" s="144">
        <f t="shared" si="72"/>
        <v>65.25</v>
      </c>
      <c r="AE45" s="144">
        <f t="shared" si="72"/>
        <v>67.5</v>
      </c>
      <c r="AF45" s="144">
        <f t="shared" si="72"/>
        <v>69.75</v>
      </c>
      <c r="AG45" s="257">
        <f t="shared" si="72"/>
        <v>48</v>
      </c>
      <c r="AH45" s="144">
        <f t="shared" si="72"/>
        <v>49.5</v>
      </c>
      <c r="AI45" s="144">
        <f t="shared" si="72"/>
        <v>51</v>
      </c>
      <c r="AJ45" s="144">
        <f t="shared" si="72"/>
        <v>52.5</v>
      </c>
      <c r="AK45" s="144">
        <f t="shared" si="72"/>
        <v>54</v>
      </c>
      <c r="AL45" s="144">
        <f t="shared" si="72"/>
        <v>55.5</v>
      </c>
      <c r="AM45" s="144">
        <f t="shared" si="73"/>
        <v>57</v>
      </c>
      <c r="AN45" s="144">
        <f t="shared" si="73"/>
        <v>58.5</v>
      </c>
      <c r="AO45" s="144">
        <f t="shared" si="73"/>
        <v>60</v>
      </c>
      <c r="AP45" s="144">
        <f t="shared" si="73"/>
        <v>61.5</v>
      </c>
      <c r="AQ45" s="144">
        <f t="shared" si="73"/>
        <v>63</v>
      </c>
      <c r="AR45" s="144">
        <f t="shared" si="73"/>
        <v>64.5</v>
      </c>
      <c r="AS45" s="144">
        <f t="shared" si="73"/>
        <v>66</v>
      </c>
      <c r="AT45" s="144">
        <f t="shared" si="73"/>
        <v>67.5</v>
      </c>
      <c r="AU45" s="144">
        <f t="shared" si="73"/>
        <v>69</v>
      </c>
      <c r="AV45" s="307">
        <f t="shared" si="73"/>
        <v>70.5</v>
      </c>
      <c r="AW45" s="132">
        <f t="shared" si="74"/>
        <v>54</v>
      </c>
      <c r="AX45" s="144">
        <f t="shared" si="74"/>
        <v>55.125</v>
      </c>
      <c r="AY45" s="144">
        <f t="shared" si="74"/>
        <v>56.25</v>
      </c>
      <c r="AZ45" s="144">
        <f t="shared" si="74"/>
        <v>57.375</v>
      </c>
      <c r="BA45" s="144">
        <f t="shared" si="74"/>
        <v>58.5</v>
      </c>
      <c r="BB45" s="144">
        <f t="shared" si="74"/>
        <v>59.625</v>
      </c>
      <c r="BC45" s="144">
        <f t="shared" si="74"/>
        <v>60.75</v>
      </c>
      <c r="BD45" s="144">
        <f t="shared" si="74"/>
        <v>61.875</v>
      </c>
      <c r="BE45" s="144">
        <f t="shared" si="74"/>
        <v>63</v>
      </c>
      <c r="BF45" s="144">
        <f t="shared" si="74"/>
        <v>64.125</v>
      </c>
      <c r="BG45" s="144">
        <f t="shared" si="75"/>
        <v>65.25</v>
      </c>
      <c r="BH45" s="144">
        <f t="shared" si="75"/>
        <v>66.375</v>
      </c>
      <c r="BI45" s="144">
        <f t="shared" si="75"/>
        <v>67.5</v>
      </c>
      <c r="BJ45" s="144">
        <f t="shared" si="75"/>
        <v>68.625</v>
      </c>
      <c r="BK45" s="144">
        <f t="shared" si="75"/>
        <v>69.75</v>
      </c>
      <c r="BL45" s="144">
        <f t="shared" si="75"/>
        <v>70.875</v>
      </c>
      <c r="BM45" s="266">
        <f t="shared" si="75"/>
        <v>72</v>
      </c>
    </row>
    <row r="46" spans="1:65" s="5" customFormat="1" ht="14.25" customHeight="1">
      <c r="A46" s="639"/>
      <c r="B46" s="433">
        <v>5</v>
      </c>
      <c r="C46" s="411" t="s">
        <v>40</v>
      </c>
      <c r="D46" s="412" t="s">
        <v>40</v>
      </c>
      <c r="E46" s="437">
        <f t="shared" ref="E46:H46" si="78">SUM(E41/5)</f>
        <v>20.8</v>
      </c>
      <c r="F46" s="136">
        <f t="shared" si="78"/>
        <v>26</v>
      </c>
      <c r="G46" s="136">
        <f t="shared" si="78"/>
        <v>31.2</v>
      </c>
      <c r="H46" s="137">
        <f t="shared" si="78"/>
        <v>36.4</v>
      </c>
      <c r="I46" s="132">
        <f t="shared" si="70"/>
        <v>20.8</v>
      </c>
      <c r="J46" s="265">
        <f t="shared" si="70"/>
        <v>23.4</v>
      </c>
      <c r="K46" s="265">
        <f t="shared" si="70"/>
        <v>26</v>
      </c>
      <c r="L46" s="265">
        <f t="shared" si="70"/>
        <v>28.6</v>
      </c>
      <c r="M46" s="265">
        <f t="shared" si="70"/>
        <v>31.2</v>
      </c>
      <c r="N46" s="265">
        <f t="shared" si="70"/>
        <v>33.799999999999997</v>
      </c>
      <c r="O46" s="265">
        <f t="shared" si="70"/>
        <v>36.4</v>
      </c>
      <c r="P46" s="265">
        <f t="shared" si="70"/>
        <v>39</v>
      </c>
      <c r="Q46" s="265">
        <f t="shared" si="70"/>
        <v>28.8</v>
      </c>
      <c r="R46" s="265">
        <f t="shared" si="70"/>
        <v>30.6</v>
      </c>
      <c r="S46" s="265">
        <f t="shared" si="71"/>
        <v>32.4</v>
      </c>
      <c r="T46" s="144">
        <f t="shared" si="71"/>
        <v>34.200000000000003</v>
      </c>
      <c r="U46" s="144">
        <f t="shared" si="71"/>
        <v>36</v>
      </c>
      <c r="V46" s="144">
        <f t="shared" si="71"/>
        <v>37.799999999999997</v>
      </c>
      <c r="W46" s="144">
        <f t="shared" si="71"/>
        <v>39.6</v>
      </c>
      <c r="X46" s="144">
        <f t="shared" si="71"/>
        <v>41.4</v>
      </c>
      <c r="Y46" s="144">
        <f t="shared" si="71"/>
        <v>43.2</v>
      </c>
      <c r="Z46" s="144">
        <f t="shared" si="71"/>
        <v>45</v>
      </c>
      <c r="AA46" s="144">
        <f t="shared" si="71"/>
        <v>46.8</v>
      </c>
      <c r="AB46" s="144">
        <f t="shared" si="71"/>
        <v>48.6</v>
      </c>
      <c r="AC46" s="144">
        <f t="shared" si="72"/>
        <v>50.4</v>
      </c>
      <c r="AD46" s="144">
        <f t="shared" si="72"/>
        <v>52.2</v>
      </c>
      <c r="AE46" s="144">
        <f t="shared" si="72"/>
        <v>54</v>
      </c>
      <c r="AF46" s="144">
        <f t="shared" si="72"/>
        <v>55.8</v>
      </c>
      <c r="AG46" s="257">
        <f t="shared" si="72"/>
        <v>38.4</v>
      </c>
      <c r="AH46" s="144">
        <f t="shared" si="72"/>
        <v>39.6</v>
      </c>
      <c r="AI46" s="144">
        <f t="shared" si="72"/>
        <v>40.799999999999997</v>
      </c>
      <c r="AJ46" s="144">
        <f t="shared" si="72"/>
        <v>42</v>
      </c>
      <c r="AK46" s="144">
        <f t="shared" si="72"/>
        <v>43.2</v>
      </c>
      <c r="AL46" s="144">
        <f t="shared" si="72"/>
        <v>44.4</v>
      </c>
      <c r="AM46" s="144">
        <f t="shared" si="73"/>
        <v>45.6</v>
      </c>
      <c r="AN46" s="144">
        <f t="shared" si="73"/>
        <v>46.8</v>
      </c>
      <c r="AO46" s="144">
        <f t="shared" si="73"/>
        <v>48</v>
      </c>
      <c r="AP46" s="144">
        <f t="shared" si="73"/>
        <v>49.2</v>
      </c>
      <c r="AQ46" s="144">
        <f t="shared" si="73"/>
        <v>50.4</v>
      </c>
      <c r="AR46" s="144">
        <f t="shared" si="73"/>
        <v>51.6</v>
      </c>
      <c r="AS46" s="144">
        <f t="shared" si="73"/>
        <v>52.8</v>
      </c>
      <c r="AT46" s="144">
        <f t="shared" si="73"/>
        <v>54</v>
      </c>
      <c r="AU46" s="144">
        <f t="shared" si="73"/>
        <v>55.2</v>
      </c>
      <c r="AV46" s="307">
        <f t="shared" si="73"/>
        <v>56.4</v>
      </c>
      <c r="AW46" s="132">
        <f t="shared" si="74"/>
        <v>43.2</v>
      </c>
      <c r="AX46" s="144">
        <f t="shared" si="74"/>
        <v>44.1</v>
      </c>
      <c r="AY46" s="144">
        <f t="shared" si="74"/>
        <v>45</v>
      </c>
      <c r="AZ46" s="144">
        <f t="shared" si="74"/>
        <v>45.9</v>
      </c>
      <c r="BA46" s="144">
        <f t="shared" si="74"/>
        <v>46.8</v>
      </c>
      <c r="BB46" s="144">
        <f t="shared" si="74"/>
        <v>47.7</v>
      </c>
      <c r="BC46" s="144">
        <f t="shared" si="74"/>
        <v>48.6</v>
      </c>
      <c r="BD46" s="144">
        <f t="shared" si="74"/>
        <v>49.5</v>
      </c>
      <c r="BE46" s="144">
        <f t="shared" si="74"/>
        <v>50.4</v>
      </c>
      <c r="BF46" s="144">
        <f t="shared" si="74"/>
        <v>51.3</v>
      </c>
      <c r="BG46" s="144">
        <f t="shared" si="75"/>
        <v>52.2</v>
      </c>
      <c r="BH46" s="144">
        <f t="shared" si="75"/>
        <v>53.1</v>
      </c>
      <c r="BI46" s="144">
        <f t="shared" si="75"/>
        <v>54</v>
      </c>
      <c r="BJ46" s="144">
        <f t="shared" si="75"/>
        <v>54.9</v>
      </c>
      <c r="BK46" s="144">
        <f t="shared" si="75"/>
        <v>55.8</v>
      </c>
      <c r="BL46" s="144">
        <f t="shared" si="75"/>
        <v>56.7</v>
      </c>
      <c r="BM46" s="266">
        <f t="shared" si="75"/>
        <v>57.6</v>
      </c>
    </row>
    <row r="47" spans="1:65" s="5" customFormat="1" ht="14.25" customHeight="1">
      <c r="A47" s="639"/>
      <c r="B47" s="433">
        <v>6</v>
      </c>
      <c r="C47" s="411" t="s">
        <v>40</v>
      </c>
      <c r="D47" s="412" t="s">
        <v>40</v>
      </c>
      <c r="E47" s="437">
        <f t="shared" ref="E47:H47" si="79">SUM(E41/6)</f>
        <v>17.333333333333332</v>
      </c>
      <c r="F47" s="136">
        <f t="shared" si="79"/>
        <v>21.666666666666668</v>
      </c>
      <c r="G47" s="136">
        <f t="shared" si="79"/>
        <v>26</v>
      </c>
      <c r="H47" s="137">
        <f t="shared" si="79"/>
        <v>30.333333333333332</v>
      </c>
      <c r="I47" s="132">
        <f t="shared" si="70"/>
        <v>17.333333333333332</v>
      </c>
      <c r="J47" s="265">
        <f t="shared" si="70"/>
        <v>19.5</v>
      </c>
      <c r="K47" s="265">
        <f t="shared" si="70"/>
        <v>21.666666666666668</v>
      </c>
      <c r="L47" s="265">
        <f t="shared" si="70"/>
        <v>23.833333333333332</v>
      </c>
      <c r="M47" s="265">
        <f t="shared" si="70"/>
        <v>26</v>
      </c>
      <c r="N47" s="265">
        <f t="shared" si="70"/>
        <v>28.166666666666668</v>
      </c>
      <c r="O47" s="265">
        <f t="shared" si="70"/>
        <v>30.333333333333332</v>
      </c>
      <c r="P47" s="265">
        <f t="shared" si="70"/>
        <v>32.5</v>
      </c>
      <c r="Q47" s="265">
        <f t="shared" si="70"/>
        <v>24</v>
      </c>
      <c r="R47" s="265">
        <f t="shared" si="70"/>
        <v>25.5</v>
      </c>
      <c r="S47" s="265">
        <f t="shared" si="71"/>
        <v>27</v>
      </c>
      <c r="T47" s="144">
        <f t="shared" si="71"/>
        <v>28.5</v>
      </c>
      <c r="U47" s="144">
        <f t="shared" si="71"/>
        <v>30</v>
      </c>
      <c r="V47" s="144">
        <f t="shared" si="71"/>
        <v>31.5</v>
      </c>
      <c r="W47" s="144">
        <f t="shared" si="71"/>
        <v>33</v>
      </c>
      <c r="X47" s="144">
        <f t="shared" si="71"/>
        <v>34.5</v>
      </c>
      <c r="Y47" s="144">
        <f t="shared" si="71"/>
        <v>36</v>
      </c>
      <c r="Z47" s="144">
        <f t="shared" si="71"/>
        <v>37.5</v>
      </c>
      <c r="AA47" s="144">
        <f t="shared" si="71"/>
        <v>39</v>
      </c>
      <c r="AB47" s="144">
        <f t="shared" si="71"/>
        <v>40.5</v>
      </c>
      <c r="AC47" s="144">
        <f t="shared" si="72"/>
        <v>42</v>
      </c>
      <c r="AD47" s="144">
        <f t="shared" si="72"/>
        <v>43.5</v>
      </c>
      <c r="AE47" s="144">
        <f t="shared" si="72"/>
        <v>45</v>
      </c>
      <c r="AF47" s="144">
        <f t="shared" si="72"/>
        <v>46.5</v>
      </c>
      <c r="AG47" s="257">
        <f t="shared" si="72"/>
        <v>32</v>
      </c>
      <c r="AH47" s="144">
        <f t="shared" si="72"/>
        <v>33</v>
      </c>
      <c r="AI47" s="144">
        <f t="shared" si="72"/>
        <v>34</v>
      </c>
      <c r="AJ47" s="144">
        <f t="shared" si="72"/>
        <v>35</v>
      </c>
      <c r="AK47" s="144">
        <f t="shared" si="72"/>
        <v>36</v>
      </c>
      <c r="AL47" s="144">
        <f t="shared" si="72"/>
        <v>37</v>
      </c>
      <c r="AM47" s="144">
        <f t="shared" si="73"/>
        <v>38</v>
      </c>
      <c r="AN47" s="144">
        <f t="shared" si="73"/>
        <v>39</v>
      </c>
      <c r="AO47" s="144">
        <f t="shared" si="73"/>
        <v>40</v>
      </c>
      <c r="AP47" s="144">
        <f t="shared" si="73"/>
        <v>41</v>
      </c>
      <c r="AQ47" s="144">
        <f t="shared" si="73"/>
        <v>42</v>
      </c>
      <c r="AR47" s="144">
        <f t="shared" si="73"/>
        <v>43</v>
      </c>
      <c r="AS47" s="144">
        <f t="shared" si="73"/>
        <v>44</v>
      </c>
      <c r="AT47" s="144">
        <f t="shared" si="73"/>
        <v>45</v>
      </c>
      <c r="AU47" s="144">
        <f t="shared" si="73"/>
        <v>46</v>
      </c>
      <c r="AV47" s="307">
        <f t="shared" si="73"/>
        <v>47</v>
      </c>
      <c r="AW47" s="132">
        <f t="shared" si="74"/>
        <v>36</v>
      </c>
      <c r="AX47" s="144">
        <f t="shared" si="74"/>
        <v>36.75</v>
      </c>
      <c r="AY47" s="144">
        <f t="shared" si="74"/>
        <v>37.5</v>
      </c>
      <c r="AZ47" s="144">
        <f t="shared" si="74"/>
        <v>38.25</v>
      </c>
      <c r="BA47" s="144">
        <f t="shared" si="74"/>
        <v>39</v>
      </c>
      <c r="BB47" s="144">
        <f t="shared" si="74"/>
        <v>39.75</v>
      </c>
      <c r="BC47" s="144">
        <f t="shared" si="74"/>
        <v>40.5</v>
      </c>
      <c r="BD47" s="144">
        <f t="shared" si="74"/>
        <v>41.25</v>
      </c>
      <c r="BE47" s="144">
        <f t="shared" si="74"/>
        <v>42</v>
      </c>
      <c r="BF47" s="144">
        <f t="shared" si="74"/>
        <v>42.75</v>
      </c>
      <c r="BG47" s="144">
        <f t="shared" si="75"/>
        <v>43.5</v>
      </c>
      <c r="BH47" s="144">
        <f t="shared" si="75"/>
        <v>44.25</v>
      </c>
      <c r="BI47" s="144">
        <f t="shared" si="75"/>
        <v>45</v>
      </c>
      <c r="BJ47" s="144">
        <f t="shared" si="75"/>
        <v>45.75</v>
      </c>
      <c r="BK47" s="144">
        <f t="shared" si="75"/>
        <v>46.5</v>
      </c>
      <c r="BL47" s="144">
        <f t="shared" si="75"/>
        <v>47.25</v>
      </c>
      <c r="BM47" s="266">
        <f t="shared" si="75"/>
        <v>48</v>
      </c>
    </row>
    <row r="48" spans="1:65" s="5" customFormat="1" ht="14.25" customHeight="1">
      <c r="A48" s="639"/>
      <c r="B48" s="433">
        <v>7</v>
      </c>
      <c r="C48" s="411" t="s">
        <v>40</v>
      </c>
      <c r="D48" s="412" t="s">
        <v>40</v>
      </c>
      <c r="E48" s="437">
        <f t="shared" ref="E48:H48" si="80">SUM(E41/7)</f>
        <v>14.857142857142858</v>
      </c>
      <c r="F48" s="136">
        <f t="shared" si="80"/>
        <v>18.571428571428573</v>
      </c>
      <c r="G48" s="136">
        <f t="shared" si="80"/>
        <v>22.285714285714285</v>
      </c>
      <c r="H48" s="137">
        <f t="shared" si="80"/>
        <v>26</v>
      </c>
      <c r="I48" s="132">
        <f t="shared" si="70"/>
        <v>14.857142857142858</v>
      </c>
      <c r="J48" s="265">
        <f t="shared" si="70"/>
        <v>16.714285714285715</v>
      </c>
      <c r="K48" s="265">
        <f t="shared" si="70"/>
        <v>18.571428571428573</v>
      </c>
      <c r="L48" s="265">
        <f t="shared" si="70"/>
        <v>20.428571428571427</v>
      </c>
      <c r="M48" s="265">
        <f t="shared" si="70"/>
        <v>22.285714285714285</v>
      </c>
      <c r="N48" s="265">
        <f t="shared" si="70"/>
        <v>24.142857142857142</v>
      </c>
      <c r="O48" s="265">
        <f t="shared" si="70"/>
        <v>26</v>
      </c>
      <c r="P48" s="265">
        <f t="shared" si="70"/>
        <v>27.857142857142858</v>
      </c>
      <c r="Q48" s="265">
        <f t="shared" si="70"/>
        <v>20.571428571428573</v>
      </c>
      <c r="R48" s="265">
        <f t="shared" si="70"/>
        <v>21.857142857142858</v>
      </c>
      <c r="S48" s="265">
        <f t="shared" si="71"/>
        <v>23.142857142857142</v>
      </c>
      <c r="T48" s="144">
        <f t="shared" si="71"/>
        <v>24.428571428571427</v>
      </c>
      <c r="U48" s="144">
        <f t="shared" si="71"/>
        <v>25.714285714285715</v>
      </c>
      <c r="V48" s="144">
        <f t="shared" si="71"/>
        <v>27</v>
      </c>
      <c r="W48" s="144">
        <f t="shared" si="71"/>
        <v>28.285714285714285</v>
      </c>
      <c r="X48" s="144">
        <f t="shared" si="71"/>
        <v>29.571428571428573</v>
      </c>
      <c r="Y48" s="144">
        <f t="shared" si="71"/>
        <v>30.857142857142858</v>
      </c>
      <c r="Z48" s="144">
        <f t="shared" si="71"/>
        <v>32.142857142857146</v>
      </c>
      <c r="AA48" s="144">
        <f t="shared" si="71"/>
        <v>33.428571428571431</v>
      </c>
      <c r="AB48" s="144">
        <f t="shared" si="71"/>
        <v>34.714285714285715</v>
      </c>
      <c r="AC48" s="144">
        <f t="shared" si="72"/>
        <v>36</v>
      </c>
      <c r="AD48" s="144">
        <f t="shared" si="72"/>
        <v>37.285714285714285</v>
      </c>
      <c r="AE48" s="144">
        <f t="shared" si="72"/>
        <v>38.571428571428569</v>
      </c>
      <c r="AF48" s="144">
        <f t="shared" si="72"/>
        <v>39.857142857142854</v>
      </c>
      <c r="AG48" s="257">
        <f t="shared" si="72"/>
        <v>27.428571428571427</v>
      </c>
      <c r="AH48" s="144">
        <f t="shared" si="72"/>
        <v>28.285714285714285</v>
      </c>
      <c r="AI48" s="144">
        <f t="shared" si="72"/>
        <v>29.142857142857142</v>
      </c>
      <c r="AJ48" s="144">
        <f t="shared" si="72"/>
        <v>30</v>
      </c>
      <c r="AK48" s="144">
        <f t="shared" si="72"/>
        <v>30.857142857142858</v>
      </c>
      <c r="AL48" s="144">
        <f t="shared" si="72"/>
        <v>31.714285714285715</v>
      </c>
      <c r="AM48" s="144">
        <f t="shared" si="73"/>
        <v>32.571428571428569</v>
      </c>
      <c r="AN48" s="144">
        <f t="shared" si="73"/>
        <v>33.428571428571431</v>
      </c>
      <c r="AO48" s="144">
        <f t="shared" si="73"/>
        <v>34.285714285714285</v>
      </c>
      <c r="AP48" s="144">
        <f t="shared" si="73"/>
        <v>35.142857142857146</v>
      </c>
      <c r="AQ48" s="144">
        <f t="shared" si="73"/>
        <v>36</v>
      </c>
      <c r="AR48" s="144">
        <f t="shared" si="73"/>
        <v>36.857142857142854</v>
      </c>
      <c r="AS48" s="144">
        <f t="shared" si="73"/>
        <v>37.714285714285715</v>
      </c>
      <c r="AT48" s="144">
        <f t="shared" si="73"/>
        <v>38.571428571428569</v>
      </c>
      <c r="AU48" s="144">
        <f t="shared" si="73"/>
        <v>39.428571428571431</v>
      </c>
      <c r="AV48" s="307">
        <f t="shared" si="73"/>
        <v>40.285714285714285</v>
      </c>
      <c r="AW48" s="132">
        <f t="shared" si="74"/>
        <v>30.857142857142858</v>
      </c>
      <c r="AX48" s="144">
        <f t="shared" si="74"/>
        <v>31.5</v>
      </c>
      <c r="AY48" s="144">
        <f t="shared" si="74"/>
        <v>32.142857142857146</v>
      </c>
      <c r="AZ48" s="144">
        <f t="shared" si="74"/>
        <v>32.785714285714285</v>
      </c>
      <c r="BA48" s="144">
        <f t="shared" si="74"/>
        <v>33.428571428571431</v>
      </c>
      <c r="BB48" s="144">
        <f t="shared" si="74"/>
        <v>34.071428571428569</v>
      </c>
      <c r="BC48" s="144">
        <f t="shared" si="74"/>
        <v>34.714285714285715</v>
      </c>
      <c r="BD48" s="144">
        <f t="shared" si="74"/>
        <v>35.357142857142854</v>
      </c>
      <c r="BE48" s="144">
        <f t="shared" si="74"/>
        <v>36</v>
      </c>
      <c r="BF48" s="144">
        <f t="shared" si="74"/>
        <v>36.642857142857146</v>
      </c>
      <c r="BG48" s="144">
        <f t="shared" si="75"/>
        <v>37.285714285714285</v>
      </c>
      <c r="BH48" s="144">
        <f t="shared" si="75"/>
        <v>37.928571428571431</v>
      </c>
      <c r="BI48" s="144">
        <f t="shared" si="75"/>
        <v>38.571428571428569</v>
      </c>
      <c r="BJ48" s="144">
        <f t="shared" si="75"/>
        <v>39.214285714285715</v>
      </c>
      <c r="BK48" s="144">
        <f t="shared" si="75"/>
        <v>39.857142857142854</v>
      </c>
      <c r="BL48" s="144">
        <f t="shared" si="75"/>
        <v>40.5</v>
      </c>
      <c r="BM48" s="266">
        <f t="shared" si="75"/>
        <v>41.142857142857146</v>
      </c>
    </row>
    <row r="49" spans="1:65" s="5" customFormat="1" ht="14.25" customHeight="1">
      <c r="A49" s="639"/>
      <c r="B49" s="433">
        <v>8</v>
      </c>
      <c r="C49" s="411" t="s">
        <v>40</v>
      </c>
      <c r="D49" s="412" t="s">
        <v>40</v>
      </c>
      <c r="E49" s="437">
        <f t="shared" ref="E49:H49" si="81">SUM(E41/8)</f>
        <v>13</v>
      </c>
      <c r="F49" s="136">
        <f t="shared" si="81"/>
        <v>16.25</v>
      </c>
      <c r="G49" s="136">
        <f t="shared" si="81"/>
        <v>19.5</v>
      </c>
      <c r="H49" s="137">
        <f t="shared" si="81"/>
        <v>22.75</v>
      </c>
      <c r="I49" s="132">
        <f t="shared" si="70"/>
        <v>13</v>
      </c>
      <c r="J49" s="265">
        <f t="shared" si="70"/>
        <v>14.625</v>
      </c>
      <c r="K49" s="265">
        <f t="shared" si="70"/>
        <v>16.25</v>
      </c>
      <c r="L49" s="265">
        <f t="shared" si="70"/>
        <v>17.875</v>
      </c>
      <c r="M49" s="265">
        <f t="shared" si="70"/>
        <v>19.5</v>
      </c>
      <c r="N49" s="265">
        <f t="shared" si="70"/>
        <v>21.125</v>
      </c>
      <c r="O49" s="265">
        <f t="shared" si="70"/>
        <v>22.75</v>
      </c>
      <c r="P49" s="265">
        <f t="shared" si="70"/>
        <v>24.375</v>
      </c>
      <c r="Q49" s="265">
        <f t="shared" si="70"/>
        <v>18</v>
      </c>
      <c r="R49" s="265">
        <f t="shared" si="70"/>
        <v>19.125</v>
      </c>
      <c r="S49" s="265">
        <f t="shared" si="71"/>
        <v>20.25</v>
      </c>
      <c r="T49" s="144">
        <f t="shared" si="71"/>
        <v>21.375</v>
      </c>
      <c r="U49" s="144">
        <f t="shared" si="71"/>
        <v>22.5</v>
      </c>
      <c r="V49" s="144">
        <f t="shared" si="71"/>
        <v>23.625</v>
      </c>
      <c r="W49" s="144">
        <f t="shared" si="71"/>
        <v>24.75</v>
      </c>
      <c r="X49" s="144">
        <f t="shared" si="71"/>
        <v>25.875</v>
      </c>
      <c r="Y49" s="144">
        <f t="shared" si="71"/>
        <v>27</v>
      </c>
      <c r="Z49" s="144">
        <f t="shared" si="71"/>
        <v>28.125</v>
      </c>
      <c r="AA49" s="144">
        <f t="shared" si="71"/>
        <v>29.25</v>
      </c>
      <c r="AB49" s="144">
        <f t="shared" si="71"/>
        <v>30.375</v>
      </c>
      <c r="AC49" s="144">
        <f t="shared" si="72"/>
        <v>31.5</v>
      </c>
      <c r="AD49" s="144">
        <f t="shared" si="72"/>
        <v>32.625</v>
      </c>
      <c r="AE49" s="144">
        <f t="shared" si="72"/>
        <v>33.75</v>
      </c>
      <c r="AF49" s="144">
        <f t="shared" si="72"/>
        <v>34.875</v>
      </c>
      <c r="AG49" s="257">
        <f t="shared" si="72"/>
        <v>24</v>
      </c>
      <c r="AH49" s="144">
        <f t="shared" si="72"/>
        <v>24.75</v>
      </c>
      <c r="AI49" s="144">
        <f t="shared" si="72"/>
        <v>25.5</v>
      </c>
      <c r="AJ49" s="144">
        <f t="shared" si="72"/>
        <v>26.25</v>
      </c>
      <c r="AK49" s="144">
        <f t="shared" si="72"/>
        <v>27</v>
      </c>
      <c r="AL49" s="144">
        <f t="shared" si="72"/>
        <v>27.75</v>
      </c>
      <c r="AM49" s="144">
        <f t="shared" si="73"/>
        <v>28.5</v>
      </c>
      <c r="AN49" s="144">
        <f t="shared" si="73"/>
        <v>29.25</v>
      </c>
      <c r="AO49" s="144">
        <f t="shared" si="73"/>
        <v>30</v>
      </c>
      <c r="AP49" s="144">
        <f t="shared" si="73"/>
        <v>30.75</v>
      </c>
      <c r="AQ49" s="144">
        <f t="shared" si="73"/>
        <v>31.5</v>
      </c>
      <c r="AR49" s="144">
        <f t="shared" si="73"/>
        <v>32.25</v>
      </c>
      <c r="AS49" s="144">
        <f t="shared" si="73"/>
        <v>33</v>
      </c>
      <c r="AT49" s="144">
        <f t="shared" si="73"/>
        <v>33.75</v>
      </c>
      <c r="AU49" s="144">
        <f t="shared" si="73"/>
        <v>34.5</v>
      </c>
      <c r="AV49" s="307">
        <f t="shared" si="73"/>
        <v>35.25</v>
      </c>
      <c r="AW49" s="132">
        <f t="shared" si="74"/>
        <v>27</v>
      </c>
      <c r="AX49" s="144">
        <f t="shared" si="74"/>
        <v>27.5625</v>
      </c>
      <c r="AY49" s="144">
        <f t="shared" si="74"/>
        <v>28.125</v>
      </c>
      <c r="AZ49" s="144">
        <f t="shared" si="74"/>
        <v>28.6875</v>
      </c>
      <c r="BA49" s="144">
        <f t="shared" si="74"/>
        <v>29.25</v>
      </c>
      <c r="BB49" s="144">
        <f t="shared" si="74"/>
        <v>29.8125</v>
      </c>
      <c r="BC49" s="144">
        <f t="shared" si="74"/>
        <v>30.375</v>
      </c>
      <c r="BD49" s="144">
        <f t="shared" si="74"/>
        <v>30.9375</v>
      </c>
      <c r="BE49" s="144">
        <f t="shared" si="74"/>
        <v>31.5</v>
      </c>
      <c r="BF49" s="144">
        <f t="shared" si="74"/>
        <v>32.0625</v>
      </c>
      <c r="BG49" s="144">
        <f t="shared" si="75"/>
        <v>32.625</v>
      </c>
      <c r="BH49" s="144">
        <f t="shared" si="75"/>
        <v>33.1875</v>
      </c>
      <c r="BI49" s="144">
        <f t="shared" si="75"/>
        <v>33.75</v>
      </c>
      <c r="BJ49" s="144">
        <f t="shared" si="75"/>
        <v>34.3125</v>
      </c>
      <c r="BK49" s="144">
        <f t="shared" si="75"/>
        <v>34.875</v>
      </c>
      <c r="BL49" s="144">
        <f t="shared" si="75"/>
        <v>35.4375</v>
      </c>
      <c r="BM49" s="266">
        <f t="shared" si="75"/>
        <v>36</v>
      </c>
    </row>
    <row r="50" spans="1:65" s="5" customFormat="1" ht="14.25" customHeight="1">
      <c r="A50" s="640"/>
      <c r="B50" s="460">
        <v>9</v>
      </c>
      <c r="C50" s="448" t="s">
        <v>40</v>
      </c>
      <c r="D50" s="449" t="s">
        <v>40</v>
      </c>
      <c r="E50" s="461">
        <f t="shared" ref="E50:H50" si="82">SUM(E41/9)</f>
        <v>11.555555555555555</v>
      </c>
      <c r="F50" s="462">
        <f t="shared" si="82"/>
        <v>14.444444444444445</v>
      </c>
      <c r="G50" s="462">
        <f t="shared" si="82"/>
        <v>17.333333333333332</v>
      </c>
      <c r="H50" s="463">
        <f t="shared" si="82"/>
        <v>20.222222222222221</v>
      </c>
      <c r="I50" s="322">
        <f t="shared" si="70"/>
        <v>11.555555555555555</v>
      </c>
      <c r="J50" s="270">
        <f t="shared" si="70"/>
        <v>13</v>
      </c>
      <c r="K50" s="270">
        <f t="shared" si="70"/>
        <v>14.444444444444445</v>
      </c>
      <c r="L50" s="270">
        <f t="shared" si="70"/>
        <v>15.888888888888889</v>
      </c>
      <c r="M50" s="270">
        <f t="shared" si="70"/>
        <v>17.333333333333332</v>
      </c>
      <c r="N50" s="270">
        <f t="shared" si="70"/>
        <v>18.777777777777779</v>
      </c>
      <c r="O50" s="270">
        <f t="shared" si="70"/>
        <v>20.222222222222221</v>
      </c>
      <c r="P50" s="270">
        <f t="shared" si="70"/>
        <v>21.666666666666668</v>
      </c>
      <c r="Q50" s="270">
        <f t="shared" si="70"/>
        <v>16</v>
      </c>
      <c r="R50" s="270">
        <f t="shared" si="70"/>
        <v>17</v>
      </c>
      <c r="S50" s="270">
        <f t="shared" si="71"/>
        <v>18</v>
      </c>
      <c r="T50" s="269">
        <f t="shared" si="71"/>
        <v>19</v>
      </c>
      <c r="U50" s="269">
        <f t="shared" si="71"/>
        <v>20</v>
      </c>
      <c r="V50" s="269">
        <f t="shared" si="71"/>
        <v>21</v>
      </c>
      <c r="W50" s="269">
        <f t="shared" si="71"/>
        <v>22</v>
      </c>
      <c r="X50" s="269">
        <f t="shared" si="71"/>
        <v>23</v>
      </c>
      <c r="Y50" s="269">
        <f t="shared" si="71"/>
        <v>24</v>
      </c>
      <c r="Z50" s="269">
        <f t="shared" si="71"/>
        <v>25</v>
      </c>
      <c r="AA50" s="269">
        <f t="shared" si="71"/>
        <v>26</v>
      </c>
      <c r="AB50" s="269">
        <f t="shared" si="71"/>
        <v>27</v>
      </c>
      <c r="AC50" s="269">
        <f t="shared" si="72"/>
        <v>28</v>
      </c>
      <c r="AD50" s="269">
        <f t="shared" si="72"/>
        <v>29</v>
      </c>
      <c r="AE50" s="269">
        <f t="shared" si="72"/>
        <v>30</v>
      </c>
      <c r="AF50" s="269">
        <f t="shared" si="72"/>
        <v>31</v>
      </c>
      <c r="AG50" s="322">
        <f t="shared" si="72"/>
        <v>21.333333333333332</v>
      </c>
      <c r="AH50" s="269">
        <f t="shared" si="72"/>
        <v>22</v>
      </c>
      <c r="AI50" s="269">
        <f t="shared" si="72"/>
        <v>22.666666666666668</v>
      </c>
      <c r="AJ50" s="269">
        <f t="shared" si="72"/>
        <v>23.333333333333332</v>
      </c>
      <c r="AK50" s="269">
        <f t="shared" si="72"/>
        <v>24</v>
      </c>
      <c r="AL50" s="269">
        <f t="shared" si="72"/>
        <v>24.666666666666668</v>
      </c>
      <c r="AM50" s="269">
        <f t="shared" si="73"/>
        <v>25.333333333333332</v>
      </c>
      <c r="AN50" s="269">
        <f t="shared" si="73"/>
        <v>26</v>
      </c>
      <c r="AO50" s="269">
        <f t="shared" si="73"/>
        <v>26.666666666666668</v>
      </c>
      <c r="AP50" s="269">
        <f t="shared" si="73"/>
        <v>27.333333333333332</v>
      </c>
      <c r="AQ50" s="269">
        <f t="shared" si="73"/>
        <v>28</v>
      </c>
      <c r="AR50" s="269">
        <f t="shared" si="73"/>
        <v>28.666666666666668</v>
      </c>
      <c r="AS50" s="269">
        <f t="shared" si="73"/>
        <v>29.333333333333332</v>
      </c>
      <c r="AT50" s="269">
        <f t="shared" si="73"/>
        <v>30</v>
      </c>
      <c r="AU50" s="269">
        <f t="shared" si="73"/>
        <v>30.666666666666668</v>
      </c>
      <c r="AV50" s="464">
        <f t="shared" si="73"/>
        <v>31.333333333333332</v>
      </c>
      <c r="AW50" s="465">
        <f t="shared" si="74"/>
        <v>24</v>
      </c>
      <c r="AX50" s="269">
        <f t="shared" si="74"/>
        <v>24.5</v>
      </c>
      <c r="AY50" s="269">
        <f t="shared" si="74"/>
        <v>25</v>
      </c>
      <c r="AZ50" s="269">
        <f t="shared" si="74"/>
        <v>25.5</v>
      </c>
      <c r="BA50" s="269">
        <f t="shared" si="74"/>
        <v>26</v>
      </c>
      <c r="BB50" s="269">
        <f t="shared" si="74"/>
        <v>26.5</v>
      </c>
      <c r="BC50" s="269">
        <f t="shared" si="74"/>
        <v>27</v>
      </c>
      <c r="BD50" s="269">
        <f t="shared" si="74"/>
        <v>27.5</v>
      </c>
      <c r="BE50" s="269">
        <f t="shared" si="74"/>
        <v>28</v>
      </c>
      <c r="BF50" s="269">
        <f t="shared" si="74"/>
        <v>28.5</v>
      </c>
      <c r="BG50" s="269">
        <f t="shared" si="75"/>
        <v>29</v>
      </c>
      <c r="BH50" s="269">
        <f t="shared" si="75"/>
        <v>29.5</v>
      </c>
      <c r="BI50" s="269">
        <f t="shared" si="75"/>
        <v>30</v>
      </c>
      <c r="BJ50" s="269">
        <f t="shared" si="75"/>
        <v>30.5</v>
      </c>
      <c r="BK50" s="269">
        <f t="shared" si="75"/>
        <v>31</v>
      </c>
      <c r="BL50" s="269">
        <f t="shared" si="75"/>
        <v>31.5</v>
      </c>
      <c r="BM50" s="271">
        <f t="shared" si="75"/>
        <v>32</v>
      </c>
    </row>
    <row r="51" spans="1:65" s="377" customFormat="1" ht="17" customHeight="1" thickBot="1">
      <c r="A51" s="644" t="s">
        <v>54</v>
      </c>
      <c r="B51" s="659"/>
      <c r="C51" s="378" t="s">
        <v>40</v>
      </c>
      <c r="D51" s="379" t="s">
        <v>40</v>
      </c>
      <c r="E51" s="342">
        <v>1</v>
      </c>
      <c r="F51" s="259">
        <v>1</v>
      </c>
      <c r="G51" s="259">
        <v>1</v>
      </c>
      <c r="H51" s="259">
        <v>1</v>
      </c>
      <c r="I51" s="459">
        <v>2</v>
      </c>
      <c r="J51" s="452">
        <v>2</v>
      </c>
      <c r="K51" s="453">
        <v>2</v>
      </c>
      <c r="L51" s="453">
        <v>2</v>
      </c>
      <c r="M51" s="453">
        <v>2</v>
      </c>
      <c r="N51" s="453">
        <v>2</v>
      </c>
      <c r="O51" s="453">
        <v>2</v>
      </c>
      <c r="P51" s="453">
        <v>2</v>
      </c>
      <c r="Q51" s="387">
        <v>2</v>
      </c>
      <c r="R51" s="387">
        <v>2</v>
      </c>
      <c r="S51" s="387">
        <v>2</v>
      </c>
      <c r="T51" s="387">
        <v>2</v>
      </c>
      <c r="U51" s="387">
        <v>2</v>
      </c>
      <c r="V51" s="387">
        <v>2</v>
      </c>
      <c r="W51" s="387">
        <v>2</v>
      </c>
      <c r="X51" s="387">
        <v>2</v>
      </c>
      <c r="Y51" s="387">
        <v>2</v>
      </c>
      <c r="Z51" s="387">
        <v>2</v>
      </c>
      <c r="AA51" s="387">
        <v>2</v>
      </c>
      <c r="AB51" s="387">
        <v>2</v>
      </c>
      <c r="AC51" s="387">
        <v>2</v>
      </c>
      <c r="AD51" s="387">
        <v>2</v>
      </c>
      <c r="AE51" s="387">
        <v>2</v>
      </c>
      <c r="AF51" s="387">
        <v>2</v>
      </c>
      <c r="AG51" s="394">
        <v>3</v>
      </c>
      <c r="AH51" s="387">
        <v>3</v>
      </c>
      <c r="AI51" s="387">
        <v>3</v>
      </c>
      <c r="AJ51" s="387">
        <v>3</v>
      </c>
      <c r="AK51" s="387">
        <v>3</v>
      </c>
      <c r="AL51" s="387">
        <v>3</v>
      </c>
      <c r="AM51" s="387">
        <v>3</v>
      </c>
      <c r="AN51" s="387">
        <v>3</v>
      </c>
      <c r="AO51" s="387">
        <v>3</v>
      </c>
      <c r="AP51" s="387">
        <v>3</v>
      </c>
      <c r="AQ51" s="387">
        <v>3</v>
      </c>
      <c r="AR51" s="387">
        <v>3</v>
      </c>
      <c r="AS51" s="387">
        <v>3</v>
      </c>
      <c r="AT51" s="387">
        <v>3</v>
      </c>
      <c r="AU51" s="387">
        <v>3</v>
      </c>
      <c r="AV51" s="392">
        <v>3</v>
      </c>
      <c r="AW51" s="394">
        <v>4</v>
      </c>
      <c r="AX51" s="387">
        <v>4</v>
      </c>
      <c r="AY51" s="387">
        <v>4</v>
      </c>
      <c r="AZ51" s="387">
        <v>4</v>
      </c>
      <c r="BA51" s="387">
        <v>4</v>
      </c>
      <c r="BB51" s="387">
        <v>4</v>
      </c>
      <c r="BC51" s="387">
        <v>4</v>
      </c>
      <c r="BD51" s="387">
        <v>4</v>
      </c>
      <c r="BE51" s="387">
        <v>4</v>
      </c>
      <c r="BF51" s="387">
        <v>4</v>
      </c>
      <c r="BG51" s="387">
        <v>4</v>
      </c>
      <c r="BH51" s="387">
        <v>4</v>
      </c>
      <c r="BI51" s="387">
        <v>4</v>
      </c>
      <c r="BJ51" s="387">
        <v>4</v>
      </c>
      <c r="BK51" s="387">
        <v>4</v>
      </c>
      <c r="BL51" s="387">
        <v>4</v>
      </c>
      <c r="BM51" s="388">
        <v>4</v>
      </c>
    </row>
    <row r="52" spans="1:65" s="500" customFormat="1" ht="20.25" customHeight="1">
      <c r="A52" s="509" t="s">
        <v>66</v>
      </c>
      <c r="B52" s="510">
        <v>8</v>
      </c>
      <c r="C52" s="511" t="s">
        <v>40</v>
      </c>
      <c r="D52" s="512" t="s">
        <v>40</v>
      </c>
      <c r="E52" s="478"/>
      <c r="F52" s="479"/>
      <c r="G52" s="480"/>
      <c r="H52" s="480"/>
      <c r="I52" s="480"/>
      <c r="J52" s="480"/>
      <c r="K52" s="480"/>
      <c r="L52" s="480"/>
      <c r="M52" s="480"/>
      <c r="N52" s="480"/>
      <c r="O52" s="480"/>
      <c r="P52" s="481"/>
      <c r="Q52" s="513">
        <f t="shared" ref="Q52:AV52" si="83">SUM(Q39*$B52)</f>
        <v>128</v>
      </c>
      <c r="R52" s="513">
        <f t="shared" si="83"/>
        <v>136</v>
      </c>
      <c r="S52" s="514">
        <f t="shared" si="83"/>
        <v>144</v>
      </c>
      <c r="T52" s="514">
        <f t="shared" si="83"/>
        <v>152</v>
      </c>
      <c r="U52" s="514">
        <f t="shared" si="83"/>
        <v>160</v>
      </c>
      <c r="V52" s="514">
        <f t="shared" si="83"/>
        <v>168</v>
      </c>
      <c r="W52" s="514">
        <f t="shared" si="83"/>
        <v>176</v>
      </c>
      <c r="X52" s="514">
        <f t="shared" si="83"/>
        <v>184</v>
      </c>
      <c r="Y52" s="514">
        <f t="shared" si="83"/>
        <v>192</v>
      </c>
      <c r="Z52" s="514">
        <f t="shared" si="83"/>
        <v>200</v>
      </c>
      <c r="AA52" s="514">
        <f t="shared" si="83"/>
        <v>208</v>
      </c>
      <c r="AB52" s="514">
        <f t="shared" si="83"/>
        <v>216</v>
      </c>
      <c r="AC52" s="514">
        <f t="shared" si="83"/>
        <v>224</v>
      </c>
      <c r="AD52" s="514">
        <f t="shared" si="83"/>
        <v>232</v>
      </c>
      <c r="AE52" s="514">
        <f t="shared" si="83"/>
        <v>240</v>
      </c>
      <c r="AF52" s="514">
        <f t="shared" si="83"/>
        <v>248</v>
      </c>
      <c r="AG52" s="515">
        <f t="shared" si="83"/>
        <v>256</v>
      </c>
      <c r="AH52" s="514">
        <f t="shared" si="83"/>
        <v>264</v>
      </c>
      <c r="AI52" s="514">
        <f t="shared" si="83"/>
        <v>272</v>
      </c>
      <c r="AJ52" s="514">
        <f t="shared" si="83"/>
        <v>280</v>
      </c>
      <c r="AK52" s="514">
        <f t="shared" si="83"/>
        <v>288</v>
      </c>
      <c r="AL52" s="514">
        <f t="shared" si="83"/>
        <v>296</v>
      </c>
      <c r="AM52" s="514">
        <f t="shared" si="83"/>
        <v>304</v>
      </c>
      <c r="AN52" s="514">
        <f t="shared" si="83"/>
        <v>312</v>
      </c>
      <c r="AO52" s="514">
        <f t="shared" si="83"/>
        <v>320</v>
      </c>
      <c r="AP52" s="514">
        <f t="shared" si="83"/>
        <v>328</v>
      </c>
      <c r="AQ52" s="514">
        <f t="shared" si="83"/>
        <v>336</v>
      </c>
      <c r="AR52" s="514">
        <f t="shared" si="83"/>
        <v>344</v>
      </c>
      <c r="AS52" s="514">
        <f t="shared" si="83"/>
        <v>352</v>
      </c>
      <c r="AT52" s="514">
        <f t="shared" si="83"/>
        <v>360</v>
      </c>
      <c r="AU52" s="514">
        <f t="shared" si="83"/>
        <v>368</v>
      </c>
      <c r="AV52" s="514">
        <f t="shared" si="83"/>
        <v>376</v>
      </c>
      <c r="AW52" s="514">
        <f t="shared" ref="AW52:BM52" si="84">SUM(AW39*$B52)</f>
        <v>384</v>
      </c>
      <c r="AX52" s="514">
        <f t="shared" si="84"/>
        <v>392</v>
      </c>
      <c r="AY52" s="514">
        <f t="shared" si="84"/>
        <v>400</v>
      </c>
      <c r="AZ52" s="514">
        <f t="shared" si="84"/>
        <v>408</v>
      </c>
      <c r="BA52" s="514">
        <f t="shared" si="84"/>
        <v>416</v>
      </c>
      <c r="BB52" s="514">
        <f t="shared" si="84"/>
        <v>424</v>
      </c>
      <c r="BC52" s="514">
        <f t="shared" si="84"/>
        <v>432</v>
      </c>
      <c r="BD52" s="514">
        <f t="shared" si="84"/>
        <v>440</v>
      </c>
      <c r="BE52" s="514">
        <f t="shared" si="84"/>
        <v>448</v>
      </c>
      <c r="BF52" s="514">
        <f t="shared" si="84"/>
        <v>456</v>
      </c>
      <c r="BG52" s="514">
        <f t="shared" si="84"/>
        <v>464</v>
      </c>
      <c r="BH52" s="514">
        <f t="shared" si="84"/>
        <v>472</v>
      </c>
      <c r="BI52" s="514">
        <f t="shared" si="84"/>
        <v>480</v>
      </c>
      <c r="BJ52" s="514">
        <f t="shared" si="84"/>
        <v>488</v>
      </c>
      <c r="BK52" s="514">
        <f t="shared" si="84"/>
        <v>496</v>
      </c>
      <c r="BL52" s="514">
        <f t="shared" si="84"/>
        <v>504</v>
      </c>
      <c r="BM52" s="516">
        <f t="shared" si="84"/>
        <v>512</v>
      </c>
    </row>
    <row r="53" spans="1:65" s="5" customFormat="1" ht="14.25" customHeight="1">
      <c r="A53" s="446"/>
      <c r="B53" s="385" t="s">
        <v>41</v>
      </c>
      <c r="C53" s="457" t="s">
        <v>40</v>
      </c>
      <c r="D53" s="458" t="s">
        <v>40</v>
      </c>
      <c r="E53" s="454" t="s">
        <v>47</v>
      </c>
      <c r="F53" s="455" t="s">
        <v>47</v>
      </c>
      <c r="G53" s="455" t="s">
        <v>47</v>
      </c>
      <c r="H53" s="455" t="s">
        <v>47</v>
      </c>
      <c r="I53" s="455" t="s">
        <v>47</v>
      </c>
      <c r="J53" s="455" t="s">
        <v>47</v>
      </c>
      <c r="K53" s="455" t="s">
        <v>47</v>
      </c>
      <c r="L53" s="455" t="s">
        <v>47</v>
      </c>
      <c r="M53" s="455" t="s">
        <v>47</v>
      </c>
      <c r="N53" s="455" t="s">
        <v>47</v>
      </c>
      <c r="O53" s="455" t="s">
        <v>47</v>
      </c>
      <c r="P53" s="456" t="s">
        <v>47</v>
      </c>
      <c r="Q53" s="439">
        <f t="shared" ref="Q53:AV53" si="85">SUM(Q52/Q55)</f>
        <v>32</v>
      </c>
      <c r="R53" s="440">
        <f t="shared" si="85"/>
        <v>34</v>
      </c>
      <c r="S53" s="440">
        <f t="shared" si="85"/>
        <v>36</v>
      </c>
      <c r="T53" s="440">
        <f t="shared" si="85"/>
        <v>38</v>
      </c>
      <c r="U53" s="441">
        <f t="shared" si="85"/>
        <v>40</v>
      </c>
      <c r="V53" s="441">
        <f t="shared" si="85"/>
        <v>42</v>
      </c>
      <c r="W53" s="441">
        <f t="shared" si="85"/>
        <v>44</v>
      </c>
      <c r="X53" s="440">
        <f t="shared" si="85"/>
        <v>46</v>
      </c>
      <c r="Y53" s="440">
        <f t="shared" si="85"/>
        <v>48</v>
      </c>
      <c r="Z53" s="441">
        <f t="shared" si="85"/>
        <v>50</v>
      </c>
      <c r="AA53" s="441">
        <f t="shared" si="85"/>
        <v>52</v>
      </c>
      <c r="AB53" s="441">
        <f t="shared" si="85"/>
        <v>54</v>
      </c>
      <c r="AC53" s="441">
        <f t="shared" si="85"/>
        <v>56</v>
      </c>
      <c r="AD53" s="441">
        <f t="shared" si="85"/>
        <v>58</v>
      </c>
      <c r="AE53" s="441">
        <f t="shared" si="85"/>
        <v>60</v>
      </c>
      <c r="AF53" s="440">
        <f t="shared" si="85"/>
        <v>62</v>
      </c>
      <c r="AG53" s="440">
        <f t="shared" si="85"/>
        <v>64</v>
      </c>
      <c r="AH53" s="441">
        <f t="shared" si="85"/>
        <v>66</v>
      </c>
      <c r="AI53" s="441">
        <f t="shared" si="85"/>
        <v>68</v>
      </c>
      <c r="AJ53" s="441">
        <f t="shared" si="85"/>
        <v>70</v>
      </c>
      <c r="AK53" s="441">
        <f t="shared" si="85"/>
        <v>72</v>
      </c>
      <c r="AL53" s="441">
        <f t="shared" si="85"/>
        <v>74</v>
      </c>
      <c r="AM53" s="441">
        <f t="shared" si="85"/>
        <v>76</v>
      </c>
      <c r="AN53" s="441">
        <f t="shared" si="85"/>
        <v>78</v>
      </c>
      <c r="AO53" s="441">
        <f t="shared" si="85"/>
        <v>80</v>
      </c>
      <c r="AP53" s="441">
        <f t="shared" si="85"/>
        <v>82</v>
      </c>
      <c r="AQ53" s="441">
        <f t="shared" si="85"/>
        <v>84</v>
      </c>
      <c r="AR53" s="441">
        <f t="shared" si="85"/>
        <v>86</v>
      </c>
      <c r="AS53" s="441">
        <f t="shared" si="85"/>
        <v>88</v>
      </c>
      <c r="AT53" s="441">
        <f t="shared" si="85"/>
        <v>90</v>
      </c>
      <c r="AU53" s="441">
        <f t="shared" si="85"/>
        <v>92</v>
      </c>
      <c r="AV53" s="441">
        <f t="shared" si="85"/>
        <v>94</v>
      </c>
      <c r="AW53" s="441">
        <f t="shared" ref="AW53:BM53" si="86">ROUND(SUM((AW52/AW55)*0.666666666666666),2)</f>
        <v>64</v>
      </c>
      <c r="AX53" s="441">
        <f t="shared" si="86"/>
        <v>65.33</v>
      </c>
      <c r="AY53" s="441">
        <f t="shared" si="86"/>
        <v>66.67</v>
      </c>
      <c r="AZ53" s="441">
        <f t="shared" si="86"/>
        <v>68</v>
      </c>
      <c r="BA53" s="441">
        <f t="shared" si="86"/>
        <v>69.33</v>
      </c>
      <c r="BB53" s="441">
        <f t="shared" si="86"/>
        <v>70.67</v>
      </c>
      <c r="BC53" s="441">
        <f t="shared" si="86"/>
        <v>72</v>
      </c>
      <c r="BD53" s="441">
        <f t="shared" si="86"/>
        <v>73.33</v>
      </c>
      <c r="BE53" s="441">
        <f t="shared" si="86"/>
        <v>74.67</v>
      </c>
      <c r="BF53" s="441">
        <f t="shared" si="86"/>
        <v>76</v>
      </c>
      <c r="BG53" s="441">
        <f t="shared" si="86"/>
        <v>77.33</v>
      </c>
      <c r="BH53" s="441">
        <f t="shared" si="86"/>
        <v>78.67</v>
      </c>
      <c r="BI53" s="441">
        <f t="shared" si="86"/>
        <v>80</v>
      </c>
      <c r="BJ53" s="441">
        <f t="shared" si="86"/>
        <v>81.33</v>
      </c>
      <c r="BK53" s="441">
        <f t="shared" si="86"/>
        <v>82.67</v>
      </c>
      <c r="BL53" s="441">
        <f t="shared" si="86"/>
        <v>84</v>
      </c>
      <c r="BM53" s="450">
        <f t="shared" si="86"/>
        <v>85.33</v>
      </c>
    </row>
    <row r="54" spans="1:65" s="5" customFormat="1" ht="14.25" customHeight="1">
      <c r="A54" s="447"/>
      <c r="B54" s="445" t="s">
        <v>42</v>
      </c>
      <c r="C54" s="448" t="s">
        <v>40</v>
      </c>
      <c r="D54" s="449" t="s">
        <v>40</v>
      </c>
      <c r="E54" s="442" t="s">
        <v>47</v>
      </c>
      <c r="F54" s="443" t="s">
        <v>47</v>
      </c>
      <c r="G54" s="443" t="s">
        <v>47</v>
      </c>
      <c r="H54" s="443" t="s">
        <v>47</v>
      </c>
      <c r="I54" s="443" t="s">
        <v>47</v>
      </c>
      <c r="J54" s="443" t="s">
        <v>47</v>
      </c>
      <c r="K54" s="443" t="s">
        <v>47</v>
      </c>
      <c r="L54" s="443" t="s">
        <v>47</v>
      </c>
      <c r="M54" s="443" t="s">
        <v>47</v>
      </c>
      <c r="N54" s="443" t="s">
        <v>47</v>
      </c>
      <c r="O54" s="443" t="s">
        <v>47</v>
      </c>
      <c r="P54" s="444" t="s">
        <v>47</v>
      </c>
      <c r="Q54" s="466"/>
      <c r="R54" s="467"/>
      <c r="S54" s="467"/>
      <c r="T54" s="467"/>
      <c r="U54" s="468"/>
      <c r="V54" s="468"/>
      <c r="W54" s="468"/>
      <c r="X54" s="467"/>
      <c r="Y54" s="467"/>
      <c r="Z54" s="468"/>
      <c r="AA54" s="468"/>
      <c r="AB54" s="468"/>
      <c r="AC54" s="468"/>
      <c r="AD54" s="468"/>
      <c r="AE54" s="468"/>
      <c r="AF54" s="467"/>
      <c r="AG54" s="467"/>
      <c r="AH54" s="468"/>
      <c r="AI54" s="468"/>
      <c r="AJ54" s="468"/>
      <c r="AK54" s="468"/>
      <c r="AL54" s="468"/>
      <c r="AM54" s="468"/>
      <c r="AN54" s="468"/>
      <c r="AO54" s="468"/>
      <c r="AP54" s="468"/>
      <c r="AQ54" s="468"/>
      <c r="AR54" s="468"/>
      <c r="AS54" s="468"/>
      <c r="AT54" s="468"/>
      <c r="AU54" s="468"/>
      <c r="AV54" s="468"/>
      <c r="AW54" s="248">
        <f t="shared" ref="AW54:BM54" si="87">ROUND(SUM((AW52/AW55)*0.33333333333333),2)</f>
        <v>32</v>
      </c>
      <c r="AX54" s="248">
        <f t="shared" si="87"/>
        <v>32.67</v>
      </c>
      <c r="AY54" s="248">
        <f t="shared" si="87"/>
        <v>33.33</v>
      </c>
      <c r="AZ54" s="248">
        <f t="shared" si="87"/>
        <v>34</v>
      </c>
      <c r="BA54" s="248">
        <f t="shared" si="87"/>
        <v>34.67</v>
      </c>
      <c r="BB54" s="248">
        <f t="shared" si="87"/>
        <v>35.33</v>
      </c>
      <c r="BC54" s="248">
        <f t="shared" si="87"/>
        <v>36</v>
      </c>
      <c r="BD54" s="248">
        <f t="shared" si="87"/>
        <v>36.67</v>
      </c>
      <c r="BE54" s="248">
        <f t="shared" si="87"/>
        <v>37.33</v>
      </c>
      <c r="BF54" s="248">
        <f t="shared" si="87"/>
        <v>38</v>
      </c>
      <c r="BG54" s="248">
        <f t="shared" si="87"/>
        <v>38.67</v>
      </c>
      <c r="BH54" s="248">
        <f t="shared" si="87"/>
        <v>39.33</v>
      </c>
      <c r="BI54" s="248">
        <f t="shared" si="87"/>
        <v>40</v>
      </c>
      <c r="BJ54" s="248">
        <f t="shared" si="87"/>
        <v>40.67</v>
      </c>
      <c r="BK54" s="248">
        <f t="shared" si="87"/>
        <v>41.33</v>
      </c>
      <c r="BL54" s="248">
        <f t="shared" si="87"/>
        <v>42</v>
      </c>
      <c r="BM54" s="451">
        <f t="shared" si="87"/>
        <v>42.67</v>
      </c>
    </row>
    <row r="55" spans="1:65" s="377" customFormat="1" ht="19" customHeight="1" thickBot="1">
      <c r="A55" s="660" t="s">
        <v>54</v>
      </c>
      <c r="B55" s="659" t="s">
        <v>54</v>
      </c>
      <c r="C55" s="382" t="s">
        <v>40</v>
      </c>
      <c r="D55" s="383" t="s">
        <v>40</v>
      </c>
      <c r="E55" s="384" t="s">
        <v>47</v>
      </c>
      <c r="F55" s="379" t="s">
        <v>47</v>
      </c>
      <c r="G55" s="379" t="s">
        <v>47</v>
      </c>
      <c r="H55" s="379" t="s">
        <v>47</v>
      </c>
      <c r="I55" s="379" t="s">
        <v>47</v>
      </c>
      <c r="J55" s="379" t="s">
        <v>47</v>
      </c>
      <c r="K55" s="379" t="s">
        <v>47</v>
      </c>
      <c r="L55" s="379" t="s">
        <v>47</v>
      </c>
      <c r="M55" s="379" t="s">
        <v>47</v>
      </c>
      <c r="N55" s="379" t="s">
        <v>47</v>
      </c>
      <c r="O55" s="379" t="s">
        <v>47</v>
      </c>
      <c r="P55" s="386" t="s">
        <v>47</v>
      </c>
      <c r="Q55" s="256">
        <v>4</v>
      </c>
      <c r="R55" s="256">
        <v>4</v>
      </c>
      <c r="S55" s="256">
        <v>4</v>
      </c>
      <c r="T55" s="256">
        <v>4</v>
      </c>
      <c r="U55" s="256">
        <v>4</v>
      </c>
      <c r="V55" s="256">
        <v>4</v>
      </c>
      <c r="W55" s="256">
        <v>4</v>
      </c>
      <c r="X55" s="256">
        <v>4</v>
      </c>
      <c r="Y55" s="256">
        <v>4</v>
      </c>
      <c r="Z55" s="256">
        <v>4</v>
      </c>
      <c r="AA55" s="256">
        <v>4</v>
      </c>
      <c r="AB55" s="256">
        <v>4</v>
      </c>
      <c r="AC55" s="256">
        <v>4</v>
      </c>
      <c r="AD55" s="256">
        <v>4</v>
      </c>
      <c r="AE55" s="256">
        <v>4</v>
      </c>
      <c r="AF55" s="256">
        <v>4</v>
      </c>
      <c r="AG55" s="256">
        <v>4</v>
      </c>
      <c r="AH55" s="256">
        <v>4</v>
      </c>
      <c r="AI55" s="256">
        <v>4</v>
      </c>
      <c r="AJ55" s="256">
        <v>4</v>
      </c>
      <c r="AK55" s="256">
        <v>4</v>
      </c>
      <c r="AL55" s="256">
        <v>4</v>
      </c>
      <c r="AM55" s="256">
        <v>4</v>
      </c>
      <c r="AN55" s="256">
        <v>4</v>
      </c>
      <c r="AO55" s="256">
        <v>4</v>
      </c>
      <c r="AP55" s="256">
        <v>4</v>
      </c>
      <c r="AQ55" s="256">
        <v>4</v>
      </c>
      <c r="AR55" s="256">
        <v>4</v>
      </c>
      <c r="AS55" s="256">
        <v>4</v>
      </c>
      <c r="AT55" s="256">
        <v>4</v>
      </c>
      <c r="AU55" s="256">
        <v>4</v>
      </c>
      <c r="AV55" s="256">
        <v>4</v>
      </c>
      <c r="AW55" s="256">
        <v>4</v>
      </c>
      <c r="AX55" s="256">
        <v>4</v>
      </c>
      <c r="AY55" s="256">
        <v>4</v>
      </c>
      <c r="AZ55" s="256">
        <v>4</v>
      </c>
      <c r="BA55" s="256">
        <v>4</v>
      </c>
      <c r="BB55" s="256">
        <v>4</v>
      </c>
      <c r="BC55" s="256">
        <v>4</v>
      </c>
      <c r="BD55" s="256">
        <v>4</v>
      </c>
      <c r="BE55" s="256">
        <v>4</v>
      </c>
      <c r="BF55" s="256">
        <v>4</v>
      </c>
      <c r="BG55" s="256">
        <v>4</v>
      </c>
      <c r="BH55" s="256">
        <v>4</v>
      </c>
      <c r="BI55" s="256">
        <v>4</v>
      </c>
      <c r="BJ55" s="256">
        <v>4</v>
      </c>
      <c r="BK55" s="256">
        <v>4</v>
      </c>
      <c r="BL55" s="256">
        <v>4</v>
      </c>
      <c r="BM55" s="324">
        <v>4</v>
      </c>
    </row>
    <row r="57" spans="1:65">
      <c r="A57" s="625" t="s">
        <v>68</v>
      </c>
      <c r="B57" s="625"/>
      <c r="C57" s="92"/>
      <c r="D57" s="92"/>
      <c r="E57" s="92">
        <f>SUM(SUM(COUNT(E20:E36,E10:E11,E53:E55,E41)+3)/E2)</f>
        <v>1.5</v>
      </c>
      <c r="F57" s="92">
        <f>SUM(SUM(COUNT(F20:F36,F10:F11,F53:F55,F41)+3)/F2)</f>
        <v>1.2</v>
      </c>
      <c r="G57" s="92">
        <f>SUM(SUM(COUNT(G20:G36,G10:G11,G53:G55,G41)+3)/G2)</f>
        <v>1.1666666666666667</v>
      </c>
      <c r="H57" s="92">
        <f>SUM(SUM(COUNT(H20:H36,H10:H11,H53:H55,H41)+3)/H2)</f>
        <v>1</v>
      </c>
      <c r="I57" s="92">
        <f>SUM(SUM(COUNT(I20:I36,I10:I11,I52:I55,I41)+3)/I2)</f>
        <v>0.875</v>
      </c>
      <c r="J57" s="92">
        <f t="shared" ref="J57:P57" si="88">SUM(SUM(COUNT(J20:J36,J10:J11,J53:J55,J41)+3)/J2)</f>
        <v>0.77777777777777779</v>
      </c>
      <c r="K57" s="92">
        <f t="shared" si="88"/>
        <v>0.8</v>
      </c>
      <c r="L57" s="92">
        <f t="shared" si="88"/>
        <v>0.72727272727272729</v>
      </c>
      <c r="M57" s="92">
        <f t="shared" si="88"/>
        <v>0.66666666666666663</v>
      </c>
      <c r="N57" s="92">
        <f t="shared" si="88"/>
        <v>0.61538461538461542</v>
      </c>
      <c r="O57" s="92">
        <f t="shared" si="88"/>
        <v>0.6428571428571429</v>
      </c>
      <c r="P57" s="92">
        <f t="shared" si="88"/>
        <v>0.6</v>
      </c>
      <c r="Q57" s="92">
        <f t="shared" ref="Q57:AJ57" si="89">SUM(SUM(COUNT(Q20:Q36,Q10:Q11,Q53:Q55,Q41)+5)/Q2)</f>
        <v>0.9375</v>
      </c>
      <c r="R57" s="92">
        <f t="shared" si="89"/>
        <v>0.88235294117647056</v>
      </c>
      <c r="S57" s="92">
        <f t="shared" si="89"/>
        <v>0.94444444444444442</v>
      </c>
      <c r="T57" s="92">
        <f t="shared" si="89"/>
        <v>0.89473684210526316</v>
      </c>
      <c r="U57" s="92">
        <f t="shared" si="89"/>
        <v>0.85</v>
      </c>
      <c r="V57" s="92">
        <f t="shared" si="89"/>
        <v>0.80952380952380953</v>
      </c>
      <c r="W57" s="92">
        <f t="shared" si="89"/>
        <v>0.77272727272727271</v>
      </c>
      <c r="X57" s="92">
        <f t="shared" si="89"/>
        <v>0.73913043478260865</v>
      </c>
      <c r="Y57" s="92">
        <f t="shared" si="89"/>
        <v>0.70833333333333337</v>
      </c>
      <c r="Z57" s="92">
        <f t="shared" si="89"/>
        <v>0.68</v>
      </c>
      <c r="AA57" s="92">
        <f t="shared" si="89"/>
        <v>0.65384615384615385</v>
      </c>
      <c r="AB57" s="92">
        <f t="shared" si="89"/>
        <v>0.70370370370370372</v>
      </c>
      <c r="AC57" s="92">
        <f t="shared" si="89"/>
        <v>0.6785714285714286</v>
      </c>
      <c r="AD57" s="92">
        <f t="shared" si="89"/>
        <v>0.65517241379310343</v>
      </c>
      <c r="AE57" s="92">
        <f t="shared" si="89"/>
        <v>0.6333333333333333</v>
      </c>
      <c r="AF57" s="92">
        <f t="shared" si="89"/>
        <v>0.61290322580645162</v>
      </c>
      <c r="AG57" s="92">
        <f t="shared" si="89"/>
        <v>0.59375</v>
      </c>
      <c r="AH57" s="92">
        <f t="shared" si="89"/>
        <v>0.5757575757575758</v>
      </c>
      <c r="AI57" s="92">
        <f t="shared" si="89"/>
        <v>0.58823529411764708</v>
      </c>
      <c r="AJ57" s="92">
        <f t="shared" si="89"/>
        <v>0.5714285714285714</v>
      </c>
      <c r="AK57" s="92">
        <f t="shared" ref="AK57:BM57" si="90">SUM(SUM(COUNT(AK20:AK36,AK10:AK11,AK53:AK55,AK41)+7)/AK2)</f>
        <v>0.61111111111111116</v>
      </c>
      <c r="AL57" s="92">
        <f t="shared" si="90"/>
        <v>0.59459459459459463</v>
      </c>
      <c r="AM57" s="92">
        <f t="shared" si="90"/>
        <v>0.57894736842105265</v>
      </c>
      <c r="AN57" s="92">
        <f t="shared" si="90"/>
        <v>0.64102564102564108</v>
      </c>
      <c r="AO57" s="92">
        <f t="shared" si="90"/>
        <v>0.625</v>
      </c>
      <c r="AP57" s="92">
        <f t="shared" si="90"/>
        <v>0.6097560975609756</v>
      </c>
      <c r="AQ57" s="92">
        <f t="shared" si="90"/>
        <v>0.59523809523809523</v>
      </c>
      <c r="AR57" s="92">
        <f t="shared" si="90"/>
        <v>0.58139534883720934</v>
      </c>
      <c r="AS57" s="92">
        <f t="shared" si="90"/>
        <v>0.56818181818181823</v>
      </c>
      <c r="AT57" s="92">
        <f t="shared" si="90"/>
        <v>0.55555555555555558</v>
      </c>
      <c r="AU57" s="92">
        <f t="shared" si="90"/>
        <v>0.54347826086956519</v>
      </c>
      <c r="AV57" s="92">
        <f t="shared" si="90"/>
        <v>0.53191489361702127</v>
      </c>
      <c r="AW57" s="92">
        <f t="shared" si="90"/>
        <v>0.54166666666666663</v>
      </c>
      <c r="AX57" s="92">
        <f t="shared" si="90"/>
        <v>0.53061224489795922</v>
      </c>
      <c r="AY57" s="92">
        <f t="shared" si="90"/>
        <v>0.6</v>
      </c>
      <c r="AZ57" s="92">
        <f t="shared" si="90"/>
        <v>0.58823529411764708</v>
      </c>
      <c r="BA57" s="92">
        <f t="shared" si="90"/>
        <v>0.57692307692307687</v>
      </c>
      <c r="BB57" s="92">
        <f t="shared" si="90"/>
        <v>0.56603773584905659</v>
      </c>
      <c r="BC57" s="92">
        <f t="shared" si="90"/>
        <v>0.55555555555555558</v>
      </c>
      <c r="BD57" s="92">
        <f t="shared" si="90"/>
        <v>0.54545454545454541</v>
      </c>
      <c r="BE57" s="92">
        <f t="shared" si="90"/>
        <v>0.5357142857142857</v>
      </c>
      <c r="BF57" s="92">
        <f t="shared" si="90"/>
        <v>0.52631578947368418</v>
      </c>
      <c r="BG57" s="92">
        <f t="shared" si="90"/>
        <v>0.51724137931034486</v>
      </c>
      <c r="BH57" s="92">
        <f t="shared" si="90"/>
        <v>0.50847457627118642</v>
      </c>
      <c r="BI57" s="92">
        <f t="shared" si="90"/>
        <v>0.5</v>
      </c>
      <c r="BJ57" s="92">
        <f t="shared" si="90"/>
        <v>0.49180327868852458</v>
      </c>
      <c r="BK57" s="92">
        <f t="shared" si="90"/>
        <v>0.4838709677419355</v>
      </c>
      <c r="BL57" s="92">
        <f t="shared" si="90"/>
        <v>0.47619047619047616</v>
      </c>
      <c r="BM57" s="92">
        <f t="shared" si="90"/>
        <v>0.46875</v>
      </c>
    </row>
    <row r="58" spans="1:65">
      <c r="B58" s="31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65">
      <c r="B59" s="561" t="s">
        <v>69</v>
      </c>
      <c r="E59" s="438">
        <f t="shared" ref="E59:AJ59" si="91">SUM(E3-E4-E9-E14)</f>
        <v>0</v>
      </c>
      <c r="F59" s="438">
        <f t="shared" si="91"/>
        <v>0</v>
      </c>
      <c r="G59" s="438">
        <f t="shared" si="91"/>
        <v>0</v>
      </c>
      <c r="H59" s="438">
        <f t="shared" si="91"/>
        <v>0</v>
      </c>
      <c r="I59" s="438">
        <f t="shared" si="91"/>
        <v>0</v>
      </c>
      <c r="J59" s="438">
        <f t="shared" si="91"/>
        <v>0</v>
      </c>
      <c r="K59" s="438">
        <f t="shared" si="91"/>
        <v>0</v>
      </c>
      <c r="L59" s="438">
        <f t="shared" si="91"/>
        <v>0</v>
      </c>
      <c r="M59" s="438">
        <f t="shared" si="91"/>
        <v>0</v>
      </c>
      <c r="N59" s="438">
        <f t="shared" si="91"/>
        <v>0</v>
      </c>
      <c r="O59" s="438">
        <f t="shared" si="91"/>
        <v>0</v>
      </c>
      <c r="P59" s="438">
        <f t="shared" si="91"/>
        <v>0</v>
      </c>
      <c r="Q59" s="438">
        <f t="shared" si="91"/>
        <v>0</v>
      </c>
      <c r="R59" s="438">
        <f t="shared" si="91"/>
        <v>0</v>
      </c>
      <c r="S59" s="438">
        <f t="shared" si="91"/>
        <v>0</v>
      </c>
      <c r="T59" s="438">
        <f t="shared" si="91"/>
        <v>0</v>
      </c>
      <c r="U59" s="438">
        <f t="shared" si="91"/>
        <v>0</v>
      </c>
      <c r="V59" s="438">
        <f t="shared" si="91"/>
        <v>0</v>
      </c>
      <c r="W59" s="438">
        <f t="shared" si="91"/>
        <v>0</v>
      </c>
      <c r="X59" s="438">
        <f t="shared" si="91"/>
        <v>0</v>
      </c>
      <c r="Y59" s="438">
        <f t="shared" si="91"/>
        <v>0</v>
      </c>
      <c r="Z59" s="438">
        <f t="shared" si="91"/>
        <v>0</v>
      </c>
      <c r="AA59" s="438">
        <f t="shared" si="91"/>
        <v>0</v>
      </c>
      <c r="AB59" s="438">
        <f t="shared" si="91"/>
        <v>0</v>
      </c>
      <c r="AC59" s="438">
        <f t="shared" si="91"/>
        <v>0</v>
      </c>
      <c r="AD59" s="438">
        <f t="shared" si="91"/>
        <v>0</v>
      </c>
      <c r="AE59" s="438">
        <f t="shared" si="91"/>
        <v>0</v>
      </c>
      <c r="AF59" s="438">
        <f t="shared" si="91"/>
        <v>0</v>
      </c>
      <c r="AG59" s="438">
        <f t="shared" si="91"/>
        <v>0</v>
      </c>
      <c r="AH59" s="438">
        <f t="shared" si="91"/>
        <v>0</v>
      </c>
      <c r="AI59" s="438">
        <f t="shared" si="91"/>
        <v>0</v>
      </c>
      <c r="AJ59" s="438">
        <f t="shared" si="91"/>
        <v>0</v>
      </c>
      <c r="AK59" s="438">
        <f t="shared" ref="AK59:BM59" si="92">SUM(AK3-AK4-AK9-AK14)</f>
        <v>0</v>
      </c>
      <c r="AL59" s="438">
        <f t="shared" si="92"/>
        <v>0</v>
      </c>
      <c r="AM59" s="438">
        <f t="shared" si="92"/>
        <v>0</v>
      </c>
      <c r="AN59" s="438">
        <f t="shared" si="92"/>
        <v>0</v>
      </c>
      <c r="AO59" s="438">
        <f t="shared" si="92"/>
        <v>0</v>
      </c>
      <c r="AP59" s="438">
        <f t="shared" si="92"/>
        <v>0</v>
      </c>
      <c r="AQ59" s="438">
        <f t="shared" si="92"/>
        <v>0</v>
      </c>
      <c r="AR59" s="438">
        <f t="shared" si="92"/>
        <v>0</v>
      </c>
      <c r="AS59" s="438">
        <f t="shared" si="92"/>
        <v>0</v>
      </c>
      <c r="AT59" s="438">
        <f t="shared" si="92"/>
        <v>0</v>
      </c>
      <c r="AU59" s="438">
        <f t="shared" si="92"/>
        <v>0</v>
      </c>
      <c r="AV59" s="438">
        <f t="shared" si="92"/>
        <v>0</v>
      </c>
      <c r="AW59" s="438">
        <f t="shared" si="92"/>
        <v>0</v>
      </c>
      <c r="AX59" s="438">
        <f t="shared" si="92"/>
        <v>0</v>
      </c>
      <c r="AY59" s="438">
        <f t="shared" si="92"/>
        <v>0</v>
      </c>
      <c r="AZ59" s="438">
        <f t="shared" si="92"/>
        <v>0</v>
      </c>
      <c r="BA59" s="438">
        <f t="shared" si="92"/>
        <v>0</v>
      </c>
      <c r="BB59" s="438">
        <f t="shared" si="92"/>
        <v>0</v>
      </c>
      <c r="BC59" s="438">
        <f t="shared" si="92"/>
        <v>0</v>
      </c>
      <c r="BD59" s="438">
        <f t="shared" si="92"/>
        <v>0</v>
      </c>
      <c r="BE59" s="438">
        <f t="shared" si="92"/>
        <v>0</v>
      </c>
      <c r="BF59" s="438">
        <f t="shared" si="92"/>
        <v>0</v>
      </c>
      <c r="BG59" s="438">
        <f t="shared" si="92"/>
        <v>0</v>
      </c>
      <c r="BH59" s="438">
        <f t="shared" si="92"/>
        <v>0</v>
      </c>
      <c r="BI59" s="438">
        <f t="shared" si="92"/>
        <v>0</v>
      </c>
      <c r="BJ59" s="438">
        <f t="shared" si="92"/>
        <v>0</v>
      </c>
      <c r="BK59" s="438">
        <f t="shared" si="92"/>
        <v>0</v>
      </c>
      <c r="BL59" s="438">
        <f t="shared" si="92"/>
        <v>0</v>
      </c>
      <c r="BM59" s="438">
        <f t="shared" si="92"/>
        <v>0</v>
      </c>
    </row>
    <row r="60" spans="1:65" s="97" customFormat="1" ht="14">
      <c r="A60" s="94"/>
      <c r="B60" s="562" t="s">
        <v>70</v>
      </c>
      <c r="C60" s="96"/>
      <c r="D60" s="96"/>
      <c r="E60" s="96">
        <f t="shared" ref="E60:AJ60" si="93">E17-SUM(E20:E35,E37)</f>
        <v>0</v>
      </c>
      <c r="F60" s="96">
        <f t="shared" si="93"/>
        <v>0</v>
      </c>
      <c r="G60" s="96">
        <f t="shared" si="93"/>
        <v>0</v>
      </c>
      <c r="H60" s="96">
        <f t="shared" si="93"/>
        <v>0</v>
      </c>
      <c r="I60" s="96">
        <f t="shared" si="93"/>
        <v>0</v>
      </c>
      <c r="J60" s="96">
        <f t="shared" si="93"/>
        <v>0</v>
      </c>
      <c r="K60" s="96">
        <f t="shared" si="93"/>
        <v>0</v>
      </c>
      <c r="L60" s="96">
        <f t="shared" si="93"/>
        <v>0</v>
      </c>
      <c r="M60" s="96">
        <f t="shared" si="93"/>
        <v>0</v>
      </c>
      <c r="N60" s="96">
        <f t="shared" si="93"/>
        <v>0</v>
      </c>
      <c r="O60" s="96">
        <f t="shared" si="93"/>
        <v>0</v>
      </c>
      <c r="P60" s="96">
        <f t="shared" si="93"/>
        <v>0</v>
      </c>
      <c r="Q60" s="96">
        <f t="shared" si="93"/>
        <v>0</v>
      </c>
      <c r="R60" s="96">
        <f t="shared" si="93"/>
        <v>0</v>
      </c>
      <c r="S60" s="96">
        <f t="shared" si="93"/>
        <v>0</v>
      </c>
      <c r="T60" s="96">
        <f t="shared" si="93"/>
        <v>0</v>
      </c>
      <c r="U60" s="96">
        <f t="shared" si="93"/>
        <v>0</v>
      </c>
      <c r="V60" s="96">
        <f t="shared" si="93"/>
        <v>0</v>
      </c>
      <c r="W60" s="96">
        <f t="shared" si="93"/>
        <v>0</v>
      </c>
      <c r="X60" s="96">
        <f t="shared" si="93"/>
        <v>0</v>
      </c>
      <c r="Y60" s="96">
        <f t="shared" si="93"/>
        <v>0</v>
      </c>
      <c r="Z60" s="96">
        <f t="shared" si="93"/>
        <v>0</v>
      </c>
      <c r="AA60" s="96">
        <f t="shared" si="93"/>
        <v>0</v>
      </c>
      <c r="AB60" s="96">
        <f t="shared" si="93"/>
        <v>0</v>
      </c>
      <c r="AC60" s="96">
        <f t="shared" si="93"/>
        <v>0</v>
      </c>
      <c r="AD60" s="96">
        <f t="shared" si="93"/>
        <v>0</v>
      </c>
      <c r="AE60" s="96">
        <f t="shared" si="93"/>
        <v>0</v>
      </c>
      <c r="AF60" s="96">
        <f t="shared" si="93"/>
        <v>0</v>
      </c>
      <c r="AG60" s="96">
        <f t="shared" si="93"/>
        <v>0</v>
      </c>
      <c r="AH60" s="96">
        <f t="shared" si="93"/>
        <v>0</v>
      </c>
      <c r="AI60" s="96">
        <f t="shared" si="93"/>
        <v>-1.9999999999868123E-2</v>
      </c>
      <c r="AJ60" s="96">
        <f t="shared" si="93"/>
        <v>0</v>
      </c>
      <c r="AK60" s="96">
        <f t="shared" ref="AK60:BM60" si="94">AK17-SUM(AK20:AK35,AK37)</f>
        <v>1.9999999999868123E-2</v>
      </c>
      <c r="AL60" s="96">
        <f t="shared" si="94"/>
        <v>-2.0000000000095497E-2</v>
      </c>
      <c r="AM60" s="96">
        <f t="shared" si="94"/>
        <v>0</v>
      </c>
      <c r="AN60" s="96">
        <f t="shared" si="94"/>
        <v>-9.9999999998772182E-3</v>
      </c>
      <c r="AO60" s="96">
        <f t="shared" si="94"/>
        <v>9.9999999999909051E-3</v>
      </c>
      <c r="AP60" s="96">
        <f t="shared" si="94"/>
        <v>0</v>
      </c>
      <c r="AQ60" s="96">
        <f t="shared" si="94"/>
        <v>-1.0000000000218279E-2</v>
      </c>
      <c r="AR60" s="96">
        <f t="shared" si="94"/>
        <v>1.0000000000218279E-2</v>
      </c>
      <c r="AS60" s="96">
        <f t="shared" si="94"/>
        <v>0</v>
      </c>
      <c r="AT60" s="96">
        <f t="shared" si="94"/>
        <v>-9.9999999999909051E-3</v>
      </c>
      <c r="AU60" s="96">
        <f t="shared" si="94"/>
        <v>1.0000000000218279E-2</v>
      </c>
      <c r="AV60" s="96">
        <f t="shared" si="94"/>
        <v>0</v>
      </c>
      <c r="AW60" s="96">
        <f t="shared" si="94"/>
        <v>-9.9999999997635314E-3</v>
      </c>
      <c r="AX60" s="96">
        <f t="shared" si="94"/>
        <v>9.9999999999909051E-3</v>
      </c>
      <c r="AY60" s="96">
        <f t="shared" si="94"/>
        <v>0</v>
      </c>
      <c r="AZ60" s="96">
        <f t="shared" si="94"/>
        <v>0</v>
      </c>
      <c r="BA60" s="96">
        <f t="shared" si="94"/>
        <v>0</v>
      </c>
      <c r="BB60" s="96">
        <f t="shared" si="94"/>
        <v>0</v>
      </c>
      <c r="BC60" s="96">
        <f t="shared" si="94"/>
        <v>0</v>
      </c>
      <c r="BD60" s="96">
        <f t="shared" si="94"/>
        <v>0</v>
      </c>
      <c r="BE60" s="96">
        <f t="shared" si="94"/>
        <v>0</v>
      </c>
      <c r="BF60" s="96">
        <f t="shared" si="94"/>
        <v>0</v>
      </c>
      <c r="BG60" s="96">
        <f t="shared" si="94"/>
        <v>0</v>
      </c>
      <c r="BH60" s="96">
        <f t="shared" si="94"/>
        <v>0</v>
      </c>
      <c r="BI60" s="96">
        <f t="shared" si="94"/>
        <v>0</v>
      </c>
      <c r="BJ60" s="96">
        <f t="shared" si="94"/>
        <v>0</v>
      </c>
      <c r="BK60" s="96">
        <f t="shared" si="94"/>
        <v>0</v>
      </c>
      <c r="BL60" s="96">
        <f t="shared" si="94"/>
        <v>0</v>
      </c>
      <c r="BM60" s="96">
        <f t="shared" si="94"/>
        <v>0</v>
      </c>
    </row>
    <row r="61" spans="1:65" s="97" customFormat="1" ht="14">
      <c r="A61" s="94"/>
      <c r="B61" s="562" t="s">
        <v>71</v>
      </c>
      <c r="C61" s="96"/>
      <c r="D61" s="96"/>
      <c r="E61" s="96">
        <f t="shared" ref="E61:P61" si="95">SUM(E40-SUM(E41+SUM(E53:E54)))</f>
        <v>0</v>
      </c>
      <c r="F61" s="438">
        <f t="shared" si="95"/>
        <v>0</v>
      </c>
      <c r="G61" s="438">
        <f t="shared" si="95"/>
        <v>0</v>
      </c>
      <c r="H61" s="438">
        <f t="shared" si="95"/>
        <v>0</v>
      </c>
      <c r="I61" s="438">
        <f t="shared" si="95"/>
        <v>0</v>
      </c>
      <c r="J61" s="438">
        <f t="shared" si="95"/>
        <v>0</v>
      </c>
      <c r="K61" s="438">
        <f t="shared" si="95"/>
        <v>0</v>
      </c>
      <c r="L61" s="438">
        <f t="shared" si="95"/>
        <v>0</v>
      </c>
      <c r="M61" s="438">
        <f t="shared" si="95"/>
        <v>0</v>
      </c>
      <c r="N61" s="438">
        <f t="shared" si="95"/>
        <v>0</v>
      </c>
      <c r="O61" s="438">
        <f t="shared" si="95"/>
        <v>0</v>
      </c>
      <c r="P61" s="438">
        <f t="shared" si="95"/>
        <v>0</v>
      </c>
      <c r="Q61" s="438">
        <f t="shared" ref="Q61:AV61" si="96">SUM(Q40-SUM(Q41+SUM((Q53+Q54)*Q55)))</f>
        <v>0</v>
      </c>
      <c r="R61" s="438">
        <f t="shared" si="96"/>
        <v>0</v>
      </c>
      <c r="S61" s="438">
        <f t="shared" si="96"/>
        <v>0</v>
      </c>
      <c r="T61" s="438">
        <f t="shared" si="96"/>
        <v>0</v>
      </c>
      <c r="U61" s="438">
        <f t="shared" si="96"/>
        <v>0</v>
      </c>
      <c r="V61" s="438">
        <f t="shared" si="96"/>
        <v>0</v>
      </c>
      <c r="W61" s="438">
        <f t="shared" si="96"/>
        <v>0</v>
      </c>
      <c r="X61" s="438">
        <f t="shared" si="96"/>
        <v>0</v>
      </c>
      <c r="Y61" s="438">
        <f t="shared" si="96"/>
        <v>0</v>
      </c>
      <c r="Z61" s="438">
        <f t="shared" si="96"/>
        <v>0</v>
      </c>
      <c r="AA61" s="438">
        <f t="shared" si="96"/>
        <v>0</v>
      </c>
      <c r="AB61" s="438">
        <f t="shared" si="96"/>
        <v>0</v>
      </c>
      <c r="AC61" s="438">
        <f t="shared" si="96"/>
        <v>0</v>
      </c>
      <c r="AD61" s="438">
        <f t="shared" si="96"/>
        <v>0</v>
      </c>
      <c r="AE61" s="438">
        <f t="shared" si="96"/>
        <v>0</v>
      </c>
      <c r="AF61" s="438">
        <f t="shared" si="96"/>
        <v>0</v>
      </c>
      <c r="AG61" s="438">
        <f t="shared" si="96"/>
        <v>0</v>
      </c>
      <c r="AH61" s="438">
        <f t="shared" si="96"/>
        <v>0</v>
      </c>
      <c r="AI61" s="438">
        <f t="shared" si="96"/>
        <v>0</v>
      </c>
      <c r="AJ61" s="438">
        <f t="shared" si="96"/>
        <v>0</v>
      </c>
      <c r="AK61" s="438">
        <f t="shared" si="96"/>
        <v>0</v>
      </c>
      <c r="AL61" s="438">
        <f t="shared" si="96"/>
        <v>0</v>
      </c>
      <c r="AM61" s="438">
        <f t="shared" si="96"/>
        <v>0</v>
      </c>
      <c r="AN61" s="438">
        <f t="shared" si="96"/>
        <v>0</v>
      </c>
      <c r="AO61" s="438">
        <f t="shared" si="96"/>
        <v>0</v>
      </c>
      <c r="AP61" s="438">
        <f t="shared" si="96"/>
        <v>0</v>
      </c>
      <c r="AQ61" s="438">
        <f t="shared" si="96"/>
        <v>0</v>
      </c>
      <c r="AR61" s="438">
        <f t="shared" si="96"/>
        <v>0</v>
      </c>
      <c r="AS61" s="438">
        <f t="shared" si="96"/>
        <v>0</v>
      </c>
      <c r="AT61" s="438">
        <f t="shared" si="96"/>
        <v>0</v>
      </c>
      <c r="AU61" s="438">
        <f t="shared" si="96"/>
        <v>0</v>
      </c>
      <c r="AV61" s="438">
        <f t="shared" si="96"/>
        <v>0</v>
      </c>
      <c r="AW61" s="438">
        <f t="shared" ref="AW61:BM61" si="97">SUM(AW40-SUM(AW41+SUM((AW53+AW54)*AW55)))</f>
        <v>0</v>
      </c>
      <c r="AX61" s="438">
        <f t="shared" si="97"/>
        <v>0</v>
      </c>
      <c r="AY61" s="438">
        <f t="shared" si="97"/>
        <v>0</v>
      </c>
      <c r="AZ61" s="438">
        <f t="shared" si="97"/>
        <v>0</v>
      </c>
      <c r="BA61" s="438">
        <f t="shared" si="97"/>
        <v>0</v>
      </c>
      <c r="BB61" s="438">
        <f t="shared" si="97"/>
        <v>0</v>
      </c>
      <c r="BC61" s="438">
        <f t="shared" si="97"/>
        <v>0</v>
      </c>
      <c r="BD61" s="438">
        <f t="shared" si="97"/>
        <v>0</v>
      </c>
      <c r="BE61" s="438">
        <f t="shared" si="97"/>
        <v>0</v>
      </c>
      <c r="BF61" s="438">
        <f t="shared" si="97"/>
        <v>0</v>
      </c>
      <c r="BG61" s="438">
        <f t="shared" si="97"/>
        <v>0</v>
      </c>
      <c r="BH61" s="438">
        <f t="shared" si="97"/>
        <v>0</v>
      </c>
      <c r="BI61" s="438">
        <f t="shared" si="97"/>
        <v>0</v>
      </c>
      <c r="BJ61" s="438">
        <f t="shared" si="97"/>
        <v>0</v>
      </c>
      <c r="BK61" s="438">
        <f t="shared" si="97"/>
        <v>0</v>
      </c>
      <c r="BL61" s="438">
        <f t="shared" si="97"/>
        <v>0</v>
      </c>
      <c r="BM61" s="438">
        <f t="shared" si="97"/>
        <v>0</v>
      </c>
    </row>
    <row r="62" spans="1:65"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65"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65" s="146" customFormat="1">
      <c r="A64" s="624" t="s">
        <v>86</v>
      </c>
      <c r="B64" s="624"/>
      <c r="C64" s="3"/>
      <c r="D64" s="3"/>
      <c r="E64" s="3">
        <f t="shared" ref="E64:AJ64" si="98">SUM(E3,E17,E40)</f>
        <v>264</v>
      </c>
      <c r="F64" s="3">
        <f t="shared" si="98"/>
        <v>330</v>
      </c>
      <c r="G64" s="3">
        <f t="shared" si="98"/>
        <v>396</v>
      </c>
      <c r="H64" s="3">
        <f t="shared" si="98"/>
        <v>462</v>
      </c>
      <c r="I64" s="3">
        <f t="shared" si="98"/>
        <v>528</v>
      </c>
      <c r="J64" s="3">
        <f t="shared" si="98"/>
        <v>594</v>
      </c>
      <c r="K64" s="3">
        <f t="shared" si="98"/>
        <v>660</v>
      </c>
      <c r="L64" s="3">
        <f t="shared" si="98"/>
        <v>726</v>
      </c>
      <c r="M64" s="3">
        <f t="shared" si="98"/>
        <v>792</v>
      </c>
      <c r="N64" s="3">
        <f t="shared" si="98"/>
        <v>858</v>
      </c>
      <c r="O64" s="3">
        <f t="shared" si="98"/>
        <v>924</v>
      </c>
      <c r="P64" s="3">
        <f t="shared" si="98"/>
        <v>990</v>
      </c>
      <c r="Q64" s="3">
        <f t="shared" si="98"/>
        <v>1056</v>
      </c>
      <c r="R64" s="3">
        <f t="shared" si="98"/>
        <v>1122</v>
      </c>
      <c r="S64" s="3">
        <f t="shared" si="98"/>
        <v>1188</v>
      </c>
      <c r="T64" s="3">
        <f t="shared" si="98"/>
        <v>1254</v>
      </c>
      <c r="U64" s="3">
        <f t="shared" si="98"/>
        <v>1320</v>
      </c>
      <c r="V64" s="3">
        <f t="shared" si="98"/>
        <v>1386</v>
      </c>
      <c r="W64" s="3">
        <f t="shared" si="98"/>
        <v>1452</v>
      </c>
      <c r="X64" s="3">
        <f t="shared" si="98"/>
        <v>1518</v>
      </c>
      <c r="Y64" s="3">
        <f t="shared" si="98"/>
        <v>1584</v>
      </c>
      <c r="Z64" s="3">
        <f t="shared" si="98"/>
        <v>1650</v>
      </c>
      <c r="AA64" s="3">
        <f t="shared" si="98"/>
        <v>1716</v>
      </c>
      <c r="AB64" s="3">
        <f t="shared" si="98"/>
        <v>1782</v>
      </c>
      <c r="AC64" s="3">
        <f t="shared" si="98"/>
        <v>1848</v>
      </c>
      <c r="AD64" s="3">
        <f t="shared" si="98"/>
        <v>1914</v>
      </c>
      <c r="AE64" s="3">
        <f t="shared" si="98"/>
        <v>1980</v>
      </c>
      <c r="AF64" s="3">
        <f t="shared" si="98"/>
        <v>2046</v>
      </c>
      <c r="AG64" s="3">
        <f t="shared" si="98"/>
        <v>2112</v>
      </c>
      <c r="AH64" s="3">
        <f t="shared" si="98"/>
        <v>2178</v>
      </c>
      <c r="AI64" s="3">
        <f t="shared" si="98"/>
        <v>2244</v>
      </c>
      <c r="AJ64" s="3">
        <f t="shared" si="98"/>
        <v>2310</v>
      </c>
      <c r="AK64" s="3">
        <f t="shared" ref="AK64:BM64" si="99">SUM(AK3,AK17,AK40)</f>
        <v>2376</v>
      </c>
      <c r="AL64" s="3">
        <f t="shared" si="99"/>
        <v>2442</v>
      </c>
      <c r="AM64" s="3">
        <f t="shared" si="99"/>
        <v>2508</v>
      </c>
      <c r="AN64" s="3">
        <f t="shared" si="99"/>
        <v>2574</v>
      </c>
      <c r="AO64" s="3">
        <f t="shared" si="99"/>
        <v>2640</v>
      </c>
      <c r="AP64" s="3">
        <f t="shared" si="99"/>
        <v>2706</v>
      </c>
      <c r="AQ64" s="3">
        <f t="shared" si="99"/>
        <v>2772</v>
      </c>
      <c r="AR64" s="3">
        <f t="shared" si="99"/>
        <v>2838</v>
      </c>
      <c r="AS64" s="3">
        <f t="shared" si="99"/>
        <v>2904</v>
      </c>
      <c r="AT64" s="3">
        <f t="shared" si="99"/>
        <v>2970</v>
      </c>
      <c r="AU64" s="3">
        <f t="shared" si="99"/>
        <v>3036</v>
      </c>
      <c r="AV64" s="3">
        <f t="shared" si="99"/>
        <v>3102</v>
      </c>
      <c r="AW64" s="3">
        <f t="shared" si="99"/>
        <v>3168</v>
      </c>
      <c r="AX64" s="3">
        <f t="shared" si="99"/>
        <v>3234</v>
      </c>
      <c r="AY64" s="3">
        <f t="shared" si="99"/>
        <v>3300</v>
      </c>
      <c r="AZ64" s="3">
        <f t="shared" si="99"/>
        <v>3366</v>
      </c>
      <c r="BA64" s="3">
        <f t="shared" si="99"/>
        <v>3432</v>
      </c>
      <c r="BB64" s="3">
        <f t="shared" si="99"/>
        <v>3498</v>
      </c>
      <c r="BC64" s="3">
        <f t="shared" si="99"/>
        <v>3564</v>
      </c>
      <c r="BD64" s="3">
        <f t="shared" si="99"/>
        <v>3630</v>
      </c>
      <c r="BE64" s="3">
        <f t="shared" si="99"/>
        <v>3696</v>
      </c>
      <c r="BF64" s="3">
        <f t="shared" si="99"/>
        <v>3762</v>
      </c>
      <c r="BG64" s="3">
        <f t="shared" si="99"/>
        <v>3828</v>
      </c>
      <c r="BH64" s="3">
        <f t="shared" si="99"/>
        <v>3894</v>
      </c>
      <c r="BI64" s="3">
        <f t="shared" si="99"/>
        <v>3960</v>
      </c>
      <c r="BJ64" s="3">
        <f t="shared" si="99"/>
        <v>4026</v>
      </c>
      <c r="BK64" s="3">
        <f t="shared" si="99"/>
        <v>4092</v>
      </c>
      <c r="BL64" s="3">
        <f t="shared" si="99"/>
        <v>4158</v>
      </c>
      <c r="BM64" s="3">
        <f t="shared" si="99"/>
        <v>4224</v>
      </c>
    </row>
    <row r="65" spans="1:65"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65">
      <c r="A66" s="661" t="s">
        <v>87</v>
      </c>
      <c r="B66" s="661"/>
      <c r="C66" s="565"/>
      <c r="E66" s="566">
        <f t="shared" ref="E66:AJ66" si="100">SUM(E9,E7)</f>
        <v>24</v>
      </c>
      <c r="F66" s="566">
        <f t="shared" si="100"/>
        <v>30</v>
      </c>
      <c r="G66" s="566">
        <f t="shared" si="100"/>
        <v>36</v>
      </c>
      <c r="H66" s="566">
        <f t="shared" si="100"/>
        <v>42</v>
      </c>
      <c r="I66" s="566">
        <f t="shared" si="100"/>
        <v>48</v>
      </c>
      <c r="J66" s="566">
        <f t="shared" si="100"/>
        <v>54</v>
      </c>
      <c r="K66" s="566">
        <f t="shared" si="100"/>
        <v>60</v>
      </c>
      <c r="L66" s="566">
        <f t="shared" si="100"/>
        <v>66</v>
      </c>
      <c r="M66" s="566">
        <f t="shared" si="100"/>
        <v>47.9999999952</v>
      </c>
      <c r="N66" s="566">
        <f t="shared" si="100"/>
        <v>51.9999999948</v>
      </c>
      <c r="O66" s="566">
        <f t="shared" si="100"/>
        <v>55.9999999944</v>
      </c>
      <c r="P66" s="566">
        <f t="shared" si="100"/>
        <v>59.999999994</v>
      </c>
      <c r="Q66" s="566">
        <f t="shared" si="100"/>
        <v>96</v>
      </c>
      <c r="R66" s="566">
        <f t="shared" si="100"/>
        <v>102</v>
      </c>
      <c r="S66" s="566">
        <f t="shared" si="100"/>
        <v>108</v>
      </c>
      <c r="T66" s="566">
        <f t="shared" si="100"/>
        <v>114</v>
      </c>
      <c r="U66" s="566">
        <f t="shared" si="100"/>
        <v>120</v>
      </c>
      <c r="V66" s="566">
        <f t="shared" si="100"/>
        <v>126</v>
      </c>
      <c r="W66" s="566">
        <f t="shared" si="100"/>
        <v>132</v>
      </c>
      <c r="X66" s="566">
        <f t="shared" si="100"/>
        <v>138</v>
      </c>
      <c r="Y66" s="566">
        <f t="shared" si="100"/>
        <v>144</v>
      </c>
      <c r="Z66" s="566">
        <f t="shared" si="100"/>
        <v>150</v>
      </c>
      <c r="AA66" s="566">
        <f t="shared" si="100"/>
        <v>156</v>
      </c>
      <c r="AB66" s="566">
        <f t="shared" si="100"/>
        <v>162</v>
      </c>
      <c r="AC66" s="566">
        <f t="shared" si="100"/>
        <v>168</v>
      </c>
      <c r="AD66" s="566">
        <f t="shared" si="100"/>
        <v>174</v>
      </c>
      <c r="AE66" s="566">
        <f t="shared" si="100"/>
        <v>180</v>
      </c>
      <c r="AF66" s="566">
        <f t="shared" si="100"/>
        <v>186</v>
      </c>
      <c r="AG66" s="566">
        <f t="shared" si="100"/>
        <v>192</v>
      </c>
      <c r="AH66" s="566">
        <f t="shared" si="100"/>
        <v>198</v>
      </c>
      <c r="AI66" s="566">
        <f t="shared" si="100"/>
        <v>204</v>
      </c>
      <c r="AJ66" s="566">
        <f t="shared" si="100"/>
        <v>210</v>
      </c>
      <c r="AK66" s="566">
        <f t="shared" ref="AK66:BM66" si="101">SUM(AK9,AK7)</f>
        <v>191.9999999952</v>
      </c>
      <c r="AL66" s="566">
        <f t="shared" si="101"/>
        <v>197.33333332839999</v>
      </c>
      <c r="AM66" s="566">
        <f t="shared" si="101"/>
        <v>202.6666666616</v>
      </c>
      <c r="AN66" s="566">
        <f t="shared" si="101"/>
        <v>207.99999999479999</v>
      </c>
      <c r="AO66" s="566">
        <f t="shared" si="101"/>
        <v>213.33333332799998</v>
      </c>
      <c r="AP66" s="566">
        <f t="shared" si="101"/>
        <v>218.6666666612</v>
      </c>
      <c r="AQ66" s="566">
        <f t="shared" si="101"/>
        <v>223.99999999440001</v>
      </c>
      <c r="AR66" s="566">
        <f t="shared" si="101"/>
        <v>229.3333333276</v>
      </c>
      <c r="AS66" s="566">
        <f t="shared" si="101"/>
        <v>234.66666666079999</v>
      </c>
      <c r="AT66" s="566">
        <f t="shared" si="101"/>
        <v>239.99999999400001</v>
      </c>
      <c r="AU66" s="566">
        <f t="shared" si="101"/>
        <v>245.33333332719999</v>
      </c>
      <c r="AV66" s="566">
        <f t="shared" si="101"/>
        <v>250.66666666039998</v>
      </c>
      <c r="AW66" s="566">
        <f t="shared" si="101"/>
        <v>255.9999999936</v>
      </c>
      <c r="AX66" s="566">
        <f t="shared" si="101"/>
        <v>261.33333332680002</v>
      </c>
      <c r="AY66" s="566">
        <f t="shared" si="101"/>
        <v>266.66666665999998</v>
      </c>
      <c r="AZ66" s="566">
        <f t="shared" si="101"/>
        <v>271.99999999319999</v>
      </c>
      <c r="BA66" s="566">
        <f t="shared" si="101"/>
        <v>277.33333332640001</v>
      </c>
      <c r="BB66" s="566">
        <f t="shared" si="101"/>
        <v>282.66666665959997</v>
      </c>
      <c r="BC66" s="566">
        <f t="shared" si="101"/>
        <v>287.99999999279999</v>
      </c>
      <c r="BD66" s="566">
        <f t="shared" si="101"/>
        <v>293.333333326</v>
      </c>
      <c r="BE66" s="566">
        <f t="shared" si="101"/>
        <v>298.66666665920002</v>
      </c>
      <c r="BF66" s="566">
        <f t="shared" si="101"/>
        <v>303.99999999239998</v>
      </c>
      <c r="BG66" s="566">
        <f t="shared" si="101"/>
        <v>309.33333332559999</v>
      </c>
      <c r="BH66" s="566">
        <f t="shared" si="101"/>
        <v>314.66666665880001</v>
      </c>
      <c r="BI66" s="566">
        <f t="shared" si="101"/>
        <v>319.99999999199997</v>
      </c>
      <c r="BJ66" s="566">
        <f t="shared" si="101"/>
        <v>325.33333332519999</v>
      </c>
      <c r="BK66" s="566">
        <f t="shared" si="101"/>
        <v>330.6666666584</v>
      </c>
      <c r="BL66" s="566">
        <f t="shared" si="101"/>
        <v>335.99999999160002</v>
      </c>
      <c r="BM66" s="566">
        <f t="shared" si="101"/>
        <v>341.33333332479998</v>
      </c>
    </row>
    <row r="67" spans="1:65">
      <c r="A67" s="624" t="s">
        <v>73</v>
      </c>
      <c r="B67" s="624"/>
      <c r="C67" s="563"/>
      <c r="D67" s="563"/>
      <c r="E67" s="563">
        <f t="shared" ref="E67:AJ67" si="102">SUM(E20+E37)</f>
        <v>104</v>
      </c>
      <c r="F67" s="563">
        <f t="shared" si="102"/>
        <v>130</v>
      </c>
      <c r="G67" s="563">
        <f t="shared" si="102"/>
        <v>120</v>
      </c>
      <c r="H67" s="563">
        <f t="shared" si="102"/>
        <v>140</v>
      </c>
      <c r="I67" s="563">
        <f t="shared" si="102"/>
        <v>160</v>
      </c>
      <c r="J67" s="563">
        <f t="shared" si="102"/>
        <v>180</v>
      </c>
      <c r="K67" s="563">
        <f t="shared" si="102"/>
        <v>170</v>
      </c>
      <c r="L67" s="563">
        <f t="shared" si="102"/>
        <v>187</v>
      </c>
      <c r="M67" s="563">
        <f t="shared" si="102"/>
        <v>204</v>
      </c>
      <c r="N67" s="563">
        <f t="shared" si="102"/>
        <v>219</v>
      </c>
      <c r="O67" s="563">
        <f t="shared" si="102"/>
        <v>188</v>
      </c>
      <c r="P67" s="563">
        <f t="shared" si="102"/>
        <v>196.67000000000002</v>
      </c>
      <c r="Q67" s="563">
        <f t="shared" si="102"/>
        <v>205.32999999999998</v>
      </c>
      <c r="R67" s="563">
        <f t="shared" si="102"/>
        <v>214</v>
      </c>
      <c r="S67" s="563">
        <f t="shared" si="102"/>
        <v>192</v>
      </c>
      <c r="T67" s="563">
        <f t="shared" si="102"/>
        <v>198.5</v>
      </c>
      <c r="U67" s="563">
        <f t="shared" si="102"/>
        <v>205</v>
      </c>
      <c r="V67" s="563">
        <f t="shared" si="102"/>
        <v>211.5</v>
      </c>
      <c r="W67" s="563">
        <f t="shared" si="102"/>
        <v>218</v>
      </c>
      <c r="X67" s="563">
        <f t="shared" si="102"/>
        <v>224.5</v>
      </c>
      <c r="Y67" s="563">
        <f t="shared" si="102"/>
        <v>231</v>
      </c>
      <c r="Z67" s="563">
        <f t="shared" si="102"/>
        <v>237.5</v>
      </c>
      <c r="AA67" s="563">
        <f t="shared" si="102"/>
        <v>244</v>
      </c>
      <c r="AB67" s="563">
        <f t="shared" si="102"/>
        <v>220.4</v>
      </c>
      <c r="AC67" s="563">
        <f t="shared" si="102"/>
        <v>225.6</v>
      </c>
      <c r="AD67" s="563">
        <f t="shared" si="102"/>
        <v>230.8</v>
      </c>
      <c r="AE67" s="563">
        <f t="shared" si="102"/>
        <v>236</v>
      </c>
      <c r="AF67" s="563">
        <f t="shared" si="102"/>
        <v>241.2</v>
      </c>
      <c r="AG67" s="563">
        <f t="shared" si="102"/>
        <v>246.4</v>
      </c>
      <c r="AH67" s="563">
        <f t="shared" si="102"/>
        <v>251.6</v>
      </c>
      <c r="AI67" s="563">
        <f t="shared" si="102"/>
        <v>230.67</v>
      </c>
      <c r="AJ67" s="563">
        <f t="shared" si="102"/>
        <v>235</v>
      </c>
      <c r="AK67" s="563">
        <f t="shared" ref="AK67:BM67" si="103">SUM(AK20+AK37)</f>
        <v>239.33</v>
      </c>
      <c r="AL67" s="563">
        <f t="shared" si="103"/>
        <v>243.67</v>
      </c>
      <c r="AM67" s="563">
        <f t="shared" si="103"/>
        <v>248</v>
      </c>
      <c r="AN67" s="563">
        <f t="shared" si="103"/>
        <v>221.87</v>
      </c>
      <c r="AO67" s="563">
        <f t="shared" si="103"/>
        <v>225.32999999999998</v>
      </c>
      <c r="AP67" s="563">
        <f t="shared" si="103"/>
        <v>228.8</v>
      </c>
      <c r="AQ67" s="563">
        <f t="shared" si="103"/>
        <v>232.27</v>
      </c>
      <c r="AR67" s="563">
        <f t="shared" si="103"/>
        <v>235.73</v>
      </c>
      <c r="AS67" s="563">
        <f t="shared" si="103"/>
        <v>239.2</v>
      </c>
      <c r="AT67" s="563">
        <f t="shared" si="103"/>
        <v>242.67</v>
      </c>
      <c r="AU67" s="563">
        <f t="shared" si="103"/>
        <v>246.13</v>
      </c>
      <c r="AV67" s="563">
        <f t="shared" si="103"/>
        <v>249.6</v>
      </c>
      <c r="AW67" s="563">
        <f t="shared" si="103"/>
        <v>253.07</v>
      </c>
      <c r="AX67" s="563">
        <f t="shared" si="103"/>
        <v>256.52999999999997</v>
      </c>
      <c r="AY67" s="563">
        <f t="shared" si="103"/>
        <v>220</v>
      </c>
      <c r="AZ67" s="563">
        <f t="shared" si="103"/>
        <v>222.6</v>
      </c>
      <c r="BA67" s="563">
        <f t="shared" si="103"/>
        <v>225.2</v>
      </c>
      <c r="BB67" s="563">
        <f t="shared" si="103"/>
        <v>227.8</v>
      </c>
      <c r="BC67" s="563">
        <f t="shared" si="103"/>
        <v>230.4</v>
      </c>
      <c r="BD67" s="563">
        <f t="shared" si="103"/>
        <v>233</v>
      </c>
      <c r="BE67" s="563">
        <f t="shared" si="103"/>
        <v>235.6</v>
      </c>
      <c r="BF67" s="563">
        <f t="shared" si="103"/>
        <v>238.2</v>
      </c>
      <c r="BG67" s="563">
        <f t="shared" si="103"/>
        <v>240.8</v>
      </c>
      <c r="BH67" s="563">
        <f t="shared" si="103"/>
        <v>243.4</v>
      </c>
      <c r="BI67" s="563">
        <f t="shared" si="103"/>
        <v>246</v>
      </c>
      <c r="BJ67" s="563">
        <f t="shared" si="103"/>
        <v>248.6</v>
      </c>
      <c r="BK67" s="563">
        <f t="shared" si="103"/>
        <v>251.2</v>
      </c>
      <c r="BL67" s="563">
        <f t="shared" si="103"/>
        <v>253.8</v>
      </c>
      <c r="BM67" s="563">
        <f t="shared" si="103"/>
        <v>256.39999999999998</v>
      </c>
    </row>
    <row r="68" spans="1:65">
      <c r="A68" s="624" t="s">
        <v>74</v>
      </c>
      <c r="B68" s="624"/>
      <c r="C68" s="563"/>
      <c r="D68" s="563"/>
      <c r="E68" s="563">
        <f t="shared" ref="E68:AJ68" si="104">SUM(E42,E53)</f>
        <v>104</v>
      </c>
      <c r="F68" s="563">
        <f t="shared" si="104"/>
        <v>130</v>
      </c>
      <c r="G68" s="563">
        <f t="shared" si="104"/>
        <v>156</v>
      </c>
      <c r="H68" s="563">
        <f t="shared" si="104"/>
        <v>182</v>
      </c>
      <c r="I68" s="563">
        <f t="shared" si="104"/>
        <v>104</v>
      </c>
      <c r="J68" s="563">
        <f t="shared" si="104"/>
        <v>117</v>
      </c>
      <c r="K68" s="563">
        <f t="shared" si="104"/>
        <v>130</v>
      </c>
      <c r="L68" s="563">
        <f t="shared" si="104"/>
        <v>143</v>
      </c>
      <c r="M68" s="563">
        <f t="shared" si="104"/>
        <v>156</v>
      </c>
      <c r="N68" s="563">
        <f t="shared" si="104"/>
        <v>169</v>
      </c>
      <c r="O68" s="563">
        <f t="shared" si="104"/>
        <v>182</v>
      </c>
      <c r="P68" s="563">
        <f t="shared" si="104"/>
        <v>195</v>
      </c>
      <c r="Q68" s="563">
        <f t="shared" si="104"/>
        <v>176</v>
      </c>
      <c r="R68" s="563">
        <f t="shared" si="104"/>
        <v>187</v>
      </c>
      <c r="S68" s="563">
        <f t="shared" si="104"/>
        <v>198</v>
      </c>
      <c r="T68" s="563">
        <f t="shared" si="104"/>
        <v>209</v>
      </c>
      <c r="U68" s="563">
        <f t="shared" si="104"/>
        <v>220</v>
      </c>
      <c r="V68" s="563">
        <f t="shared" si="104"/>
        <v>231</v>
      </c>
      <c r="W68" s="563">
        <f t="shared" si="104"/>
        <v>242</v>
      </c>
      <c r="X68" s="563">
        <f t="shared" si="104"/>
        <v>253</v>
      </c>
      <c r="Y68" s="563">
        <f t="shared" si="104"/>
        <v>264</v>
      </c>
      <c r="Z68" s="563">
        <f t="shared" si="104"/>
        <v>275</v>
      </c>
      <c r="AA68" s="563">
        <f t="shared" si="104"/>
        <v>286</v>
      </c>
      <c r="AB68" s="563">
        <f t="shared" si="104"/>
        <v>297</v>
      </c>
      <c r="AC68" s="563">
        <f t="shared" si="104"/>
        <v>308</v>
      </c>
      <c r="AD68" s="563">
        <f t="shared" si="104"/>
        <v>319</v>
      </c>
      <c r="AE68" s="563">
        <f t="shared" si="104"/>
        <v>330</v>
      </c>
      <c r="AF68" s="563">
        <f t="shared" si="104"/>
        <v>341</v>
      </c>
      <c r="AG68" s="563">
        <f t="shared" si="104"/>
        <v>256</v>
      </c>
      <c r="AH68" s="563">
        <f t="shared" si="104"/>
        <v>264</v>
      </c>
      <c r="AI68" s="563">
        <f t="shared" si="104"/>
        <v>272</v>
      </c>
      <c r="AJ68" s="563">
        <f t="shared" si="104"/>
        <v>280</v>
      </c>
      <c r="AK68" s="563">
        <f t="shared" ref="AK68:BM68" si="105">SUM(AK42,AK53)</f>
        <v>288</v>
      </c>
      <c r="AL68" s="563">
        <f t="shared" si="105"/>
        <v>296</v>
      </c>
      <c r="AM68" s="563">
        <f t="shared" si="105"/>
        <v>304</v>
      </c>
      <c r="AN68" s="563">
        <f t="shared" si="105"/>
        <v>312</v>
      </c>
      <c r="AO68" s="563">
        <f t="shared" si="105"/>
        <v>320</v>
      </c>
      <c r="AP68" s="563">
        <f t="shared" si="105"/>
        <v>328</v>
      </c>
      <c r="AQ68" s="563">
        <f t="shared" si="105"/>
        <v>336</v>
      </c>
      <c r="AR68" s="563">
        <f t="shared" si="105"/>
        <v>344</v>
      </c>
      <c r="AS68" s="563">
        <f t="shared" si="105"/>
        <v>352</v>
      </c>
      <c r="AT68" s="563">
        <f t="shared" si="105"/>
        <v>360</v>
      </c>
      <c r="AU68" s="563">
        <f t="shared" si="105"/>
        <v>368</v>
      </c>
      <c r="AV68" s="563">
        <f t="shared" si="105"/>
        <v>376</v>
      </c>
      <c r="AW68" s="563">
        <f t="shared" si="105"/>
        <v>280</v>
      </c>
      <c r="AX68" s="563">
        <f t="shared" si="105"/>
        <v>285.83</v>
      </c>
      <c r="AY68" s="563">
        <f t="shared" si="105"/>
        <v>291.67</v>
      </c>
      <c r="AZ68" s="563">
        <f t="shared" si="105"/>
        <v>297.5</v>
      </c>
      <c r="BA68" s="563">
        <f t="shared" si="105"/>
        <v>303.33</v>
      </c>
      <c r="BB68" s="563">
        <f t="shared" si="105"/>
        <v>309.17</v>
      </c>
      <c r="BC68" s="563">
        <f t="shared" si="105"/>
        <v>315</v>
      </c>
      <c r="BD68" s="563">
        <f t="shared" si="105"/>
        <v>320.83</v>
      </c>
      <c r="BE68" s="563">
        <f t="shared" si="105"/>
        <v>326.67</v>
      </c>
      <c r="BF68" s="563">
        <f t="shared" si="105"/>
        <v>332.5</v>
      </c>
      <c r="BG68" s="563">
        <f t="shared" si="105"/>
        <v>338.33</v>
      </c>
      <c r="BH68" s="563">
        <f t="shared" si="105"/>
        <v>344.17</v>
      </c>
      <c r="BI68" s="563">
        <f t="shared" si="105"/>
        <v>350</v>
      </c>
      <c r="BJ68" s="563">
        <f t="shared" si="105"/>
        <v>355.83</v>
      </c>
      <c r="BK68" s="563">
        <f t="shared" si="105"/>
        <v>361.67</v>
      </c>
      <c r="BL68" s="563">
        <f t="shared" si="105"/>
        <v>367.5</v>
      </c>
      <c r="BM68" s="563">
        <f t="shared" si="105"/>
        <v>373.33</v>
      </c>
    </row>
    <row r="69" spans="1:65">
      <c r="A69" s="624" t="s">
        <v>75</v>
      </c>
      <c r="B69" s="624"/>
      <c r="C69" s="564"/>
      <c r="D69" s="564"/>
      <c r="E69" s="564">
        <f t="shared" ref="E69:AJ69" si="106">SUM(E66:E68)</f>
        <v>232</v>
      </c>
      <c r="F69" s="564">
        <f t="shared" si="106"/>
        <v>290</v>
      </c>
      <c r="G69" s="564">
        <f t="shared" si="106"/>
        <v>312</v>
      </c>
      <c r="H69" s="564">
        <f t="shared" si="106"/>
        <v>364</v>
      </c>
      <c r="I69" s="564">
        <f t="shared" si="106"/>
        <v>312</v>
      </c>
      <c r="J69" s="564">
        <f t="shared" si="106"/>
        <v>351</v>
      </c>
      <c r="K69" s="564">
        <f t="shared" si="106"/>
        <v>360</v>
      </c>
      <c r="L69" s="564">
        <f t="shared" si="106"/>
        <v>396</v>
      </c>
      <c r="M69" s="564">
        <f t="shared" si="106"/>
        <v>407.99999999520003</v>
      </c>
      <c r="N69" s="564">
        <f t="shared" si="106"/>
        <v>439.99999999480002</v>
      </c>
      <c r="O69" s="564">
        <f t="shared" si="106"/>
        <v>425.99999999440001</v>
      </c>
      <c r="P69" s="564">
        <f t="shared" si="106"/>
        <v>451.66999999400002</v>
      </c>
      <c r="Q69" s="564">
        <f t="shared" si="106"/>
        <v>477.33</v>
      </c>
      <c r="R69" s="564">
        <f t="shared" si="106"/>
        <v>503</v>
      </c>
      <c r="S69" s="564">
        <f t="shared" si="106"/>
        <v>498</v>
      </c>
      <c r="T69" s="564">
        <f t="shared" si="106"/>
        <v>521.5</v>
      </c>
      <c r="U69" s="564">
        <f t="shared" si="106"/>
        <v>545</v>
      </c>
      <c r="V69" s="564">
        <f t="shared" si="106"/>
        <v>568.5</v>
      </c>
      <c r="W69" s="564">
        <f t="shared" si="106"/>
        <v>592</v>
      </c>
      <c r="X69" s="564">
        <f t="shared" si="106"/>
        <v>615.5</v>
      </c>
      <c r="Y69" s="564">
        <f t="shared" si="106"/>
        <v>639</v>
      </c>
      <c r="Z69" s="564">
        <f t="shared" si="106"/>
        <v>662.5</v>
      </c>
      <c r="AA69" s="564">
        <f t="shared" si="106"/>
        <v>686</v>
      </c>
      <c r="AB69" s="564">
        <f t="shared" si="106"/>
        <v>679.4</v>
      </c>
      <c r="AC69" s="564">
        <f t="shared" si="106"/>
        <v>701.6</v>
      </c>
      <c r="AD69" s="564">
        <f t="shared" si="106"/>
        <v>723.8</v>
      </c>
      <c r="AE69" s="564">
        <f t="shared" si="106"/>
        <v>746</v>
      </c>
      <c r="AF69" s="564">
        <f t="shared" si="106"/>
        <v>768.2</v>
      </c>
      <c r="AG69" s="564">
        <f t="shared" si="106"/>
        <v>694.4</v>
      </c>
      <c r="AH69" s="564">
        <f t="shared" si="106"/>
        <v>713.6</v>
      </c>
      <c r="AI69" s="564">
        <f t="shared" si="106"/>
        <v>706.67</v>
      </c>
      <c r="AJ69" s="564">
        <f t="shared" si="106"/>
        <v>725</v>
      </c>
      <c r="AK69" s="564">
        <f t="shared" ref="AK69:BM69" si="107">SUM(AK66:AK68)</f>
        <v>719.32999999520007</v>
      </c>
      <c r="AL69" s="564">
        <f t="shared" si="107"/>
        <v>737.0033333284</v>
      </c>
      <c r="AM69" s="564">
        <f t="shared" si="107"/>
        <v>754.66666666159995</v>
      </c>
      <c r="AN69" s="564">
        <f t="shared" si="107"/>
        <v>741.86999999479997</v>
      </c>
      <c r="AO69" s="564">
        <f t="shared" si="107"/>
        <v>758.66333332799991</v>
      </c>
      <c r="AP69" s="564">
        <f t="shared" si="107"/>
        <v>775.46666666119995</v>
      </c>
      <c r="AQ69" s="564">
        <f t="shared" si="107"/>
        <v>792.2699999944</v>
      </c>
      <c r="AR69" s="564">
        <f t="shared" si="107"/>
        <v>809.06333332760005</v>
      </c>
      <c r="AS69" s="564">
        <f t="shared" si="107"/>
        <v>825.86666666079998</v>
      </c>
      <c r="AT69" s="564">
        <f t="shared" si="107"/>
        <v>842.66999999400002</v>
      </c>
      <c r="AU69" s="564">
        <f t="shared" si="107"/>
        <v>859.46333332719996</v>
      </c>
      <c r="AV69" s="564">
        <f t="shared" si="107"/>
        <v>876.26666666040001</v>
      </c>
      <c r="AW69" s="564">
        <f t="shared" si="107"/>
        <v>789.06999999360005</v>
      </c>
      <c r="AX69" s="564">
        <f t="shared" si="107"/>
        <v>803.69333332680003</v>
      </c>
      <c r="AY69" s="564">
        <f t="shared" si="107"/>
        <v>778.33666665999999</v>
      </c>
      <c r="AZ69" s="564">
        <f t="shared" si="107"/>
        <v>792.09999999319996</v>
      </c>
      <c r="BA69" s="564">
        <f t="shared" si="107"/>
        <v>805.86333332639992</v>
      </c>
      <c r="BB69" s="564">
        <f t="shared" si="107"/>
        <v>819.6366666596</v>
      </c>
      <c r="BC69" s="564">
        <f t="shared" si="107"/>
        <v>833.39999999279996</v>
      </c>
      <c r="BD69" s="564">
        <f t="shared" si="107"/>
        <v>847.16333332599993</v>
      </c>
      <c r="BE69" s="564">
        <f t="shared" si="107"/>
        <v>860.9366666592</v>
      </c>
      <c r="BF69" s="564">
        <f t="shared" si="107"/>
        <v>874.69999999239997</v>
      </c>
      <c r="BG69" s="564">
        <f t="shared" si="107"/>
        <v>888.46333332559993</v>
      </c>
      <c r="BH69" s="564">
        <f t="shared" si="107"/>
        <v>902.2366666588</v>
      </c>
      <c r="BI69" s="564">
        <f t="shared" si="107"/>
        <v>915.99999999199997</v>
      </c>
      <c r="BJ69" s="564">
        <f t="shared" si="107"/>
        <v>929.76333332519994</v>
      </c>
      <c r="BK69" s="564">
        <f t="shared" si="107"/>
        <v>943.53666665840001</v>
      </c>
      <c r="BL69" s="564">
        <f t="shared" si="107"/>
        <v>957.29999999160009</v>
      </c>
      <c r="BM69" s="564">
        <f t="shared" si="107"/>
        <v>971.06333332479994</v>
      </c>
    </row>
    <row r="70" spans="1:65"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65"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65"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65"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1:65"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48" t="s">
        <v>88</v>
      </c>
      <c r="R74" s="2">
        <f>SUM(S74:S75)</f>
        <v>280</v>
      </c>
      <c r="S74" s="2">
        <v>224</v>
      </c>
      <c r="T74" s="2">
        <f>SUM(S74/4)</f>
        <v>56</v>
      </c>
      <c r="U74" s="2" t="s">
        <v>89</v>
      </c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1:65"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49" t="s">
        <v>90</v>
      </c>
      <c r="R75" s="2">
        <f>SUM(T74)</f>
        <v>56</v>
      </c>
      <c r="S75" s="2">
        <f>T74</f>
        <v>56</v>
      </c>
      <c r="U75" s="147" t="s">
        <v>91</v>
      </c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1:65"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1:65"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48" t="s">
        <v>92</v>
      </c>
      <c r="R77" s="2">
        <f>SUM(S77:S84)</f>
        <v>650</v>
      </c>
      <c r="S77" s="2">
        <v>133.33000000000001</v>
      </c>
      <c r="T77" s="2">
        <f>S77</f>
        <v>133.33000000000001</v>
      </c>
      <c r="U77" s="4" t="s">
        <v>50</v>
      </c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1:65"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49" t="s">
        <v>90</v>
      </c>
      <c r="R78" s="2">
        <f>SUM(T77:T84)</f>
        <v>383.33000000000004</v>
      </c>
      <c r="S78" s="2">
        <v>66.67</v>
      </c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1:65"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>
        <f>S77</f>
        <v>133.33000000000001</v>
      </c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1:65"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>
        <f>S78</f>
        <v>66.67</v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6:35"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>
        <v>100</v>
      </c>
      <c r="T81" s="2">
        <f>S81</f>
        <v>100</v>
      </c>
      <c r="U81" s="2" t="s">
        <v>19</v>
      </c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6:35"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>
        <v>50</v>
      </c>
      <c r="T82" s="2">
        <f t="shared" ref="T82:T83" si="108">S82</f>
        <v>50</v>
      </c>
      <c r="U82" s="2" t="s">
        <v>93</v>
      </c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6:35"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>
        <v>50</v>
      </c>
      <c r="T83" s="2">
        <f t="shared" si="108"/>
        <v>50</v>
      </c>
      <c r="U83" s="2" t="s">
        <v>94</v>
      </c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6:35"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>
        <v>50</v>
      </c>
      <c r="T84" s="2">
        <f t="shared" ref="T84" si="109">S84</f>
        <v>50</v>
      </c>
      <c r="U84" s="2" t="s">
        <v>95</v>
      </c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spans="6:35"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48" t="s">
        <v>96</v>
      </c>
      <c r="R85" s="127">
        <f>SUM(S85:S86)</f>
        <v>390</v>
      </c>
      <c r="S85" s="3">
        <v>390</v>
      </c>
      <c r="T85" s="3">
        <f>SUM(S85/2)</f>
        <v>195</v>
      </c>
      <c r="U85" s="2" t="s">
        <v>56</v>
      </c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spans="6:35"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49" t="s">
        <v>90</v>
      </c>
      <c r="R86" s="127">
        <f>SUM(T85:T86)</f>
        <v>195</v>
      </c>
      <c r="S86" s="3">
        <v>0</v>
      </c>
      <c r="T86" s="3">
        <f>SUM(S86/3)</f>
        <v>0</v>
      </c>
      <c r="U86" s="150" t="s">
        <v>66</v>
      </c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6:35"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spans="6:35"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48" t="s">
        <v>38</v>
      </c>
      <c r="R88" s="151">
        <f>SUM(R74,R77,R85)</f>
        <v>1320</v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6:35"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48" t="s">
        <v>90</v>
      </c>
      <c r="R89" s="151">
        <f>SUM(R75,R78,R86)</f>
        <v>634.33000000000004</v>
      </c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spans="6:35"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spans="6:35"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6:35"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spans="6:35"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spans="6:35"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spans="6:35"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spans="6:35"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spans="6:35"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spans="6:35"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spans="6:35"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spans="6:35"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spans="6:35"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spans="6:35"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spans="6:35"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spans="6:35"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6:35"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6:35"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6:35"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6:35"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spans="6:35"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6:35"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6:35"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spans="6:35"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spans="6:35"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spans="6:35"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6:35"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6:35"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6:35"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6:35"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6:35"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6:35"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</sheetData>
  <sheetProtection algorithmName="SHA-512" hashValue="/UPkUb3sRQvvKuGENvDBrHsmCk/l6dv2+l4PHGkCvaBrAZwDjfrjATrZHT1eGm/z4z4upE68uhUVN7bcZd+WtQ==" saltValue="JotgHipWqbbKAs7Q9XSS5w==" spinCount="100000" sheet="1" objects="1" scenarios="1" selectLockedCells="1"/>
  <mergeCells count="24">
    <mergeCell ref="A69:B69"/>
    <mergeCell ref="A64:B64"/>
    <mergeCell ref="A67:B67"/>
    <mergeCell ref="A68:B68"/>
    <mergeCell ref="A51:B51"/>
    <mergeCell ref="A55:B55"/>
    <mergeCell ref="A66:B66"/>
    <mergeCell ref="A57:B57"/>
    <mergeCell ref="A17:B17"/>
    <mergeCell ref="A24:A27"/>
    <mergeCell ref="A28:A31"/>
    <mergeCell ref="A32:A35"/>
    <mergeCell ref="A1:BM1"/>
    <mergeCell ref="A3:B3"/>
    <mergeCell ref="A20:A23"/>
    <mergeCell ref="A10:B10"/>
    <mergeCell ref="A11:B11"/>
    <mergeCell ref="A12:B12"/>
    <mergeCell ref="A13:B13"/>
    <mergeCell ref="A42:A50"/>
    <mergeCell ref="E38:H38"/>
    <mergeCell ref="I38:L38"/>
    <mergeCell ref="A36:B36"/>
    <mergeCell ref="A40:B40"/>
  </mergeCells>
  <printOptions horizontalCentered="1"/>
  <pageMargins left="0.25" right="0.25" top="1.45" bottom="0.25" header="0.25" footer="0.3"/>
  <pageSetup orientation="landscape" r:id="rId1"/>
  <headerFooter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4B158-E7E5-4C07-8FAA-4A6DA5856A83}">
  <dimension ref="A1:J54"/>
  <sheetViews>
    <sheetView showGridLines="0" view="pageLayout" zoomScaleNormal="100" workbookViewId="0">
      <selection activeCell="I40" sqref="I40"/>
    </sheetView>
  </sheetViews>
  <sheetFormatPr baseColWidth="10" defaultColWidth="6.1640625" defaultRowHeight="16"/>
  <cols>
    <col min="1" max="1" width="3.6640625" style="580" bestFit="1" customWidth="1"/>
    <col min="2" max="8" width="6.1640625" style="586"/>
    <col min="9" max="9" width="19.83203125" style="619" bestFit="1" customWidth="1"/>
    <col min="10" max="10" width="9.1640625" style="586" customWidth="1"/>
    <col min="11" max="16384" width="6.1640625" style="586"/>
  </cols>
  <sheetData>
    <row r="1" spans="1:10" s="572" customFormat="1">
      <c r="A1" s="580"/>
      <c r="B1" s="581" t="s">
        <v>97</v>
      </c>
      <c r="C1" s="582" t="s">
        <v>98</v>
      </c>
      <c r="D1" s="582" t="s">
        <v>99</v>
      </c>
      <c r="E1" s="582" t="s">
        <v>100</v>
      </c>
      <c r="F1" s="582" t="s">
        <v>101</v>
      </c>
      <c r="G1" s="582" t="s">
        <v>102</v>
      </c>
      <c r="H1" s="583" t="s">
        <v>103</v>
      </c>
      <c r="I1" s="584" t="s">
        <v>104</v>
      </c>
      <c r="J1" s="585"/>
    </row>
    <row r="2" spans="1:10" ht="12">
      <c r="A2" s="662" t="s">
        <v>105</v>
      </c>
      <c r="B2" s="587">
        <v>46020</v>
      </c>
      <c r="C2" s="588">
        <f t="shared" ref="C2:H11" si="0">B2+1</f>
        <v>46021</v>
      </c>
      <c r="D2" s="588">
        <f t="shared" si="0"/>
        <v>46022</v>
      </c>
      <c r="E2" s="588">
        <f t="shared" si="0"/>
        <v>46023</v>
      </c>
      <c r="F2" s="589">
        <f t="shared" si="0"/>
        <v>46024</v>
      </c>
      <c r="G2" s="590">
        <f t="shared" si="0"/>
        <v>46025</v>
      </c>
      <c r="H2" s="591">
        <f t="shared" si="0"/>
        <v>46026</v>
      </c>
      <c r="I2" s="592"/>
      <c r="J2" s="593"/>
    </row>
    <row r="3" spans="1:10" ht="12">
      <c r="A3" s="663"/>
      <c r="B3" s="594">
        <f>B2+7</f>
        <v>46027</v>
      </c>
      <c r="C3" s="595">
        <f t="shared" si="0"/>
        <v>46028</v>
      </c>
      <c r="D3" s="595">
        <f t="shared" si="0"/>
        <v>46029</v>
      </c>
      <c r="E3" s="595">
        <f t="shared" si="0"/>
        <v>46030</v>
      </c>
      <c r="F3" s="596">
        <f t="shared" si="0"/>
        <v>46031</v>
      </c>
      <c r="G3" s="597">
        <f t="shared" si="0"/>
        <v>46032</v>
      </c>
      <c r="H3" s="598">
        <f t="shared" si="0"/>
        <v>46033</v>
      </c>
      <c r="I3" s="599"/>
      <c r="J3" s="600"/>
    </row>
    <row r="4" spans="1:10" ht="12">
      <c r="A4" s="663"/>
      <c r="B4" s="594">
        <f>B3+7</f>
        <v>46034</v>
      </c>
      <c r="C4" s="595">
        <f t="shared" si="0"/>
        <v>46035</v>
      </c>
      <c r="D4" s="595">
        <f t="shared" si="0"/>
        <v>46036</v>
      </c>
      <c r="E4" s="595">
        <f t="shared" si="0"/>
        <v>46037</v>
      </c>
      <c r="F4" s="596">
        <f t="shared" si="0"/>
        <v>46038</v>
      </c>
      <c r="G4" s="597">
        <f t="shared" si="0"/>
        <v>46039</v>
      </c>
      <c r="H4" s="598">
        <f t="shared" si="0"/>
        <v>46040</v>
      </c>
      <c r="I4" s="599"/>
      <c r="J4" s="600"/>
    </row>
    <row r="5" spans="1:10" ht="12">
      <c r="A5" s="663"/>
      <c r="B5" s="594">
        <f>B4+7</f>
        <v>46041</v>
      </c>
      <c r="C5" s="595">
        <f t="shared" si="0"/>
        <v>46042</v>
      </c>
      <c r="D5" s="595">
        <f t="shared" si="0"/>
        <v>46043</v>
      </c>
      <c r="E5" s="595">
        <f t="shared" si="0"/>
        <v>46044</v>
      </c>
      <c r="F5" s="596">
        <f t="shared" si="0"/>
        <v>46045</v>
      </c>
      <c r="G5" s="597">
        <f t="shared" si="0"/>
        <v>46046</v>
      </c>
      <c r="H5" s="598">
        <f t="shared" si="0"/>
        <v>46047</v>
      </c>
      <c r="I5" s="601"/>
      <c r="J5" s="602"/>
    </row>
    <row r="6" spans="1:10" ht="12">
      <c r="A6" s="664"/>
      <c r="B6" s="594">
        <f>B5+7</f>
        <v>46048</v>
      </c>
      <c r="C6" s="595">
        <f t="shared" si="0"/>
        <v>46049</v>
      </c>
      <c r="D6" s="595">
        <f t="shared" si="0"/>
        <v>46050</v>
      </c>
      <c r="E6" s="595">
        <f t="shared" si="0"/>
        <v>46051</v>
      </c>
      <c r="F6" s="596">
        <f t="shared" si="0"/>
        <v>46052</v>
      </c>
      <c r="G6" s="597">
        <f t="shared" si="0"/>
        <v>46053</v>
      </c>
      <c r="H6" s="598">
        <f t="shared" si="0"/>
        <v>46054</v>
      </c>
      <c r="I6" s="601"/>
      <c r="J6" s="602"/>
    </row>
    <row r="7" spans="1:10" ht="12">
      <c r="A7" s="669" t="s">
        <v>106</v>
      </c>
      <c r="B7" s="594">
        <f t="shared" ref="B7" si="1">B6+7</f>
        <v>46055</v>
      </c>
      <c r="C7" s="595">
        <f t="shared" si="0"/>
        <v>46056</v>
      </c>
      <c r="D7" s="595">
        <f t="shared" si="0"/>
        <v>46057</v>
      </c>
      <c r="E7" s="595">
        <f t="shared" si="0"/>
        <v>46058</v>
      </c>
      <c r="F7" s="596">
        <f t="shared" si="0"/>
        <v>46059</v>
      </c>
      <c r="G7" s="597">
        <f t="shared" si="0"/>
        <v>46060</v>
      </c>
      <c r="H7" s="598">
        <f t="shared" si="0"/>
        <v>46061</v>
      </c>
      <c r="I7" s="601"/>
      <c r="J7" s="602"/>
    </row>
    <row r="8" spans="1:10" ht="12">
      <c r="A8" s="669"/>
      <c r="B8" s="594">
        <f t="shared" ref="B8:B54" si="2">B7+7</f>
        <v>46062</v>
      </c>
      <c r="C8" s="595">
        <f t="shared" si="0"/>
        <v>46063</v>
      </c>
      <c r="D8" s="595">
        <f t="shared" si="0"/>
        <v>46064</v>
      </c>
      <c r="E8" s="595">
        <f t="shared" si="0"/>
        <v>46065</v>
      </c>
      <c r="F8" s="596">
        <f t="shared" si="0"/>
        <v>46066</v>
      </c>
      <c r="G8" s="597">
        <f t="shared" si="0"/>
        <v>46067</v>
      </c>
      <c r="H8" s="598">
        <f t="shared" si="0"/>
        <v>46068</v>
      </c>
      <c r="I8" s="601"/>
      <c r="J8" s="602"/>
    </row>
    <row r="9" spans="1:10" ht="12">
      <c r="A9" s="669"/>
      <c r="B9" s="594">
        <f t="shared" si="2"/>
        <v>46069</v>
      </c>
      <c r="C9" s="595">
        <f t="shared" si="0"/>
        <v>46070</v>
      </c>
      <c r="D9" s="595">
        <f t="shared" si="0"/>
        <v>46071</v>
      </c>
      <c r="E9" s="595">
        <f t="shared" si="0"/>
        <v>46072</v>
      </c>
      <c r="F9" s="596">
        <f t="shared" si="0"/>
        <v>46073</v>
      </c>
      <c r="G9" s="597">
        <f t="shared" si="0"/>
        <v>46074</v>
      </c>
      <c r="H9" s="598">
        <f t="shared" si="0"/>
        <v>46075</v>
      </c>
      <c r="I9" s="599"/>
      <c r="J9" s="600"/>
    </row>
    <row r="10" spans="1:10" ht="12">
      <c r="A10" s="669"/>
      <c r="B10" s="594">
        <f t="shared" si="2"/>
        <v>46076</v>
      </c>
      <c r="C10" s="595">
        <f t="shared" si="0"/>
        <v>46077</v>
      </c>
      <c r="D10" s="595">
        <f t="shared" si="0"/>
        <v>46078</v>
      </c>
      <c r="E10" s="595">
        <f t="shared" si="0"/>
        <v>46079</v>
      </c>
      <c r="F10" s="596">
        <f t="shared" si="0"/>
        <v>46080</v>
      </c>
      <c r="G10" s="597">
        <f t="shared" si="0"/>
        <v>46081</v>
      </c>
      <c r="H10" s="598">
        <f t="shared" si="0"/>
        <v>46082</v>
      </c>
      <c r="I10" s="601"/>
      <c r="J10" s="602"/>
    </row>
    <row r="11" spans="1:10" ht="12">
      <c r="A11" s="669" t="s">
        <v>107</v>
      </c>
      <c r="B11" s="594">
        <f t="shared" si="2"/>
        <v>46083</v>
      </c>
      <c r="C11" s="595">
        <f t="shared" si="0"/>
        <v>46084</v>
      </c>
      <c r="D11" s="595">
        <f t="shared" si="0"/>
        <v>46085</v>
      </c>
      <c r="E11" s="595">
        <f t="shared" si="0"/>
        <v>46086</v>
      </c>
      <c r="F11" s="596">
        <f t="shared" si="0"/>
        <v>46087</v>
      </c>
      <c r="G11" s="597">
        <f t="shared" si="0"/>
        <v>46088</v>
      </c>
      <c r="H11" s="598">
        <f t="shared" si="0"/>
        <v>46089</v>
      </c>
      <c r="I11" s="601"/>
      <c r="J11" s="602"/>
    </row>
    <row r="12" spans="1:10" ht="12">
      <c r="A12" s="669"/>
      <c r="B12" s="594">
        <f t="shared" si="2"/>
        <v>46090</v>
      </c>
      <c r="C12" s="595">
        <f t="shared" ref="C12:H21" si="3">B12+1</f>
        <v>46091</v>
      </c>
      <c r="D12" s="595">
        <f t="shared" si="3"/>
        <v>46092</v>
      </c>
      <c r="E12" s="595">
        <f t="shared" si="3"/>
        <v>46093</v>
      </c>
      <c r="F12" s="596">
        <f t="shared" si="3"/>
        <v>46094</v>
      </c>
      <c r="G12" s="597">
        <f t="shared" si="3"/>
        <v>46095</v>
      </c>
      <c r="H12" s="598">
        <f t="shared" si="3"/>
        <v>46096</v>
      </c>
      <c r="I12" s="601"/>
      <c r="J12" s="602"/>
    </row>
    <row r="13" spans="1:10" ht="12">
      <c r="A13" s="669"/>
      <c r="B13" s="594">
        <f t="shared" si="2"/>
        <v>46097</v>
      </c>
      <c r="C13" s="595">
        <f t="shared" si="3"/>
        <v>46098</v>
      </c>
      <c r="D13" s="595">
        <f t="shared" si="3"/>
        <v>46099</v>
      </c>
      <c r="E13" s="595">
        <f t="shared" si="3"/>
        <v>46100</v>
      </c>
      <c r="F13" s="596">
        <f t="shared" si="3"/>
        <v>46101</v>
      </c>
      <c r="G13" s="597">
        <f t="shared" si="3"/>
        <v>46102</v>
      </c>
      <c r="H13" s="598">
        <f t="shared" si="3"/>
        <v>46103</v>
      </c>
      <c r="I13" s="601"/>
      <c r="J13" s="602"/>
    </row>
    <row r="14" spans="1:10" ht="12">
      <c r="A14" s="669"/>
      <c r="B14" s="594">
        <f t="shared" si="2"/>
        <v>46104</v>
      </c>
      <c r="C14" s="595">
        <f t="shared" si="3"/>
        <v>46105</v>
      </c>
      <c r="D14" s="595">
        <f t="shared" si="3"/>
        <v>46106</v>
      </c>
      <c r="E14" s="595">
        <f t="shared" si="3"/>
        <v>46107</v>
      </c>
      <c r="F14" s="596">
        <f t="shared" si="3"/>
        <v>46108</v>
      </c>
      <c r="G14" s="597">
        <f t="shared" si="3"/>
        <v>46109</v>
      </c>
      <c r="H14" s="598">
        <f t="shared" si="3"/>
        <v>46110</v>
      </c>
      <c r="I14" s="599"/>
      <c r="J14" s="602"/>
    </row>
    <row r="15" spans="1:10" ht="12">
      <c r="A15" s="669" t="s">
        <v>108</v>
      </c>
      <c r="B15" s="594">
        <f t="shared" si="2"/>
        <v>46111</v>
      </c>
      <c r="C15" s="595">
        <f t="shared" si="3"/>
        <v>46112</v>
      </c>
      <c r="D15" s="595">
        <f t="shared" si="3"/>
        <v>46113</v>
      </c>
      <c r="E15" s="595">
        <f t="shared" si="3"/>
        <v>46114</v>
      </c>
      <c r="F15" s="596">
        <f t="shared" si="3"/>
        <v>46115</v>
      </c>
      <c r="G15" s="597">
        <f t="shared" si="3"/>
        <v>46116</v>
      </c>
      <c r="H15" s="598">
        <f t="shared" si="3"/>
        <v>46117</v>
      </c>
      <c r="I15" s="601"/>
      <c r="J15" s="602"/>
    </row>
    <row r="16" spans="1:10" ht="12">
      <c r="A16" s="669"/>
      <c r="B16" s="594">
        <f t="shared" si="2"/>
        <v>46118</v>
      </c>
      <c r="C16" s="595">
        <f t="shared" si="3"/>
        <v>46119</v>
      </c>
      <c r="D16" s="595">
        <f t="shared" si="3"/>
        <v>46120</v>
      </c>
      <c r="E16" s="595">
        <f t="shared" si="3"/>
        <v>46121</v>
      </c>
      <c r="F16" s="596">
        <f t="shared" si="3"/>
        <v>46122</v>
      </c>
      <c r="G16" s="597">
        <f t="shared" si="3"/>
        <v>46123</v>
      </c>
      <c r="H16" s="598">
        <f t="shared" si="3"/>
        <v>46124</v>
      </c>
      <c r="I16" s="601"/>
      <c r="J16" s="602"/>
    </row>
    <row r="17" spans="1:10" ht="12">
      <c r="A17" s="669"/>
      <c r="B17" s="594">
        <f t="shared" si="2"/>
        <v>46125</v>
      </c>
      <c r="C17" s="595">
        <f t="shared" si="3"/>
        <v>46126</v>
      </c>
      <c r="D17" s="595">
        <f t="shared" si="3"/>
        <v>46127</v>
      </c>
      <c r="E17" s="595">
        <f t="shared" si="3"/>
        <v>46128</v>
      </c>
      <c r="F17" s="596">
        <f t="shared" si="3"/>
        <v>46129</v>
      </c>
      <c r="G17" s="597">
        <f t="shared" si="3"/>
        <v>46130</v>
      </c>
      <c r="H17" s="598">
        <f t="shared" si="3"/>
        <v>46131</v>
      </c>
      <c r="I17" s="601"/>
      <c r="J17" s="602"/>
    </row>
    <row r="18" spans="1:10" ht="12">
      <c r="A18" s="669"/>
      <c r="B18" s="594">
        <f t="shared" si="2"/>
        <v>46132</v>
      </c>
      <c r="C18" s="595">
        <f t="shared" si="3"/>
        <v>46133</v>
      </c>
      <c r="D18" s="595">
        <f t="shared" si="3"/>
        <v>46134</v>
      </c>
      <c r="E18" s="595">
        <f t="shared" si="3"/>
        <v>46135</v>
      </c>
      <c r="F18" s="596">
        <f t="shared" si="3"/>
        <v>46136</v>
      </c>
      <c r="G18" s="597">
        <f t="shared" si="3"/>
        <v>46137</v>
      </c>
      <c r="H18" s="598">
        <f t="shared" si="3"/>
        <v>46138</v>
      </c>
      <c r="I18" s="599"/>
      <c r="J18" s="603"/>
    </row>
    <row r="19" spans="1:10" ht="12">
      <c r="A19" s="669"/>
      <c r="B19" s="594">
        <f t="shared" si="2"/>
        <v>46139</v>
      </c>
      <c r="C19" s="595">
        <f t="shared" si="3"/>
        <v>46140</v>
      </c>
      <c r="D19" s="595">
        <f t="shared" si="3"/>
        <v>46141</v>
      </c>
      <c r="E19" s="595">
        <f t="shared" si="3"/>
        <v>46142</v>
      </c>
      <c r="F19" s="596">
        <f t="shared" si="3"/>
        <v>46143</v>
      </c>
      <c r="G19" s="597">
        <f t="shared" si="3"/>
        <v>46144</v>
      </c>
      <c r="H19" s="598">
        <f t="shared" si="3"/>
        <v>46145</v>
      </c>
      <c r="I19" s="601"/>
      <c r="J19" s="602"/>
    </row>
    <row r="20" spans="1:10" ht="12">
      <c r="A20" s="669" t="s">
        <v>109</v>
      </c>
      <c r="B20" s="594">
        <f t="shared" si="2"/>
        <v>46146</v>
      </c>
      <c r="C20" s="595">
        <f t="shared" si="3"/>
        <v>46147</v>
      </c>
      <c r="D20" s="595">
        <f t="shared" si="3"/>
        <v>46148</v>
      </c>
      <c r="E20" s="595">
        <f t="shared" si="3"/>
        <v>46149</v>
      </c>
      <c r="F20" s="596">
        <f t="shared" si="3"/>
        <v>46150</v>
      </c>
      <c r="G20" s="597">
        <f t="shared" si="3"/>
        <v>46151</v>
      </c>
      <c r="H20" s="598">
        <f t="shared" si="3"/>
        <v>46152</v>
      </c>
      <c r="I20" s="601"/>
      <c r="J20" s="602"/>
    </row>
    <row r="21" spans="1:10" ht="12">
      <c r="A21" s="669"/>
      <c r="B21" s="594">
        <f t="shared" si="2"/>
        <v>46153</v>
      </c>
      <c r="C21" s="595">
        <f t="shared" si="3"/>
        <v>46154</v>
      </c>
      <c r="D21" s="595">
        <f t="shared" si="3"/>
        <v>46155</v>
      </c>
      <c r="E21" s="595">
        <f t="shared" si="3"/>
        <v>46156</v>
      </c>
      <c r="F21" s="596">
        <f t="shared" si="3"/>
        <v>46157</v>
      </c>
      <c r="G21" s="597">
        <f t="shared" si="3"/>
        <v>46158</v>
      </c>
      <c r="H21" s="598">
        <f t="shared" si="3"/>
        <v>46159</v>
      </c>
      <c r="I21" s="601"/>
      <c r="J21" s="602"/>
    </row>
    <row r="22" spans="1:10" ht="12">
      <c r="A22" s="669"/>
      <c r="B22" s="594">
        <f t="shared" si="2"/>
        <v>46160</v>
      </c>
      <c r="C22" s="595">
        <f t="shared" ref="C22:H31" si="4">B22+1</f>
        <v>46161</v>
      </c>
      <c r="D22" s="595">
        <f t="shared" si="4"/>
        <v>46162</v>
      </c>
      <c r="E22" s="595">
        <f t="shared" si="4"/>
        <v>46163</v>
      </c>
      <c r="F22" s="596">
        <f t="shared" si="4"/>
        <v>46164</v>
      </c>
      <c r="G22" s="597">
        <f t="shared" si="4"/>
        <v>46165</v>
      </c>
      <c r="H22" s="598">
        <f t="shared" si="4"/>
        <v>46166</v>
      </c>
      <c r="I22" s="601"/>
      <c r="J22" s="602"/>
    </row>
    <row r="23" spans="1:10" ht="12">
      <c r="A23" s="669"/>
      <c r="B23" s="594">
        <f t="shared" si="2"/>
        <v>46167</v>
      </c>
      <c r="C23" s="595">
        <f t="shared" si="4"/>
        <v>46168</v>
      </c>
      <c r="D23" s="595">
        <f t="shared" si="4"/>
        <v>46169</v>
      </c>
      <c r="E23" s="595">
        <f t="shared" si="4"/>
        <v>46170</v>
      </c>
      <c r="F23" s="596">
        <f t="shared" si="4"/>
        <v>46171</v>
      </c>
      <c r="G23" s="597">
        <f t="shared" si="4"/>
        <v>46172</v>
      </c>
      <c r="H23" s="598">
        <f t="shared" si="4"/>
        <v>46173</v>
      </c>
      <c r="I23" s="601"/>
      <c r="J23" s="602"/>
    </row>
    <row r="24" spans="1:10" ht="12">
      <c r="A24" s="669" t="s">
        <v>110</v>
      </c>
      <c r="B24" s="594">
        <f t="shared" si="2"/>
        <v>46174</v>
      </c>
      <c r="C24" s="595">
        <f t="shared" si="4"/>
        <v>46175</v>
      </c>
      <c r="D24" s="595">
        <f t="shared" si="4"/>
        <v>46176</v>
      </c>
      <c r="E24" s="595">
        <f t="shared" si="4"/>
        <v>46177</v>
      </c>
      <c r="F24" s="596">
        <f t="shared" si="4"/>
        <v>46178</v>
      </c>
      <c r="G24" s="597">
        <f t="shared" si="4"/>
        <v>46179</v>
      </c>
      <c r="H24" s="598">
        <f t="shared" si="4"/>
        <v>46180</v>
      </c>
      <c r="I24" s="599"/>
      <c r="J24" s="603"/>
    </row>
    <row r="25" spans="1:10" ht="12">
      <c r="A25" s="669"/>
      <c r="B25" s="594">
        <f t="shared" si="2"/>
        <v>46181</v>
      </c>
      <c r="C25" s="595">
        <f t="shared" si="4"/>
        <v>46182</v>
      </c>
      <c r="D25" s="595">
        <f t="shared" si="4"/>
        <v>46183</v>
      </c>
      <c r="E25" s="595">
        <f t="shared" si="4"/>
        <v>46184</v>
      </c>
      <c r="F25" s="596">
        <f t="shared" si="4"/>
        <v>46185</v>
      </c>
      <c r="G25" s="597">
        <f t="shared" si="4"/>
        <v>46186</v>
      </c>
      <c r="H25" s="598">
        <f t="shared" si="4"/>
        <v>46187</v>
      </c>
      <c r="I25" s="601"/>
      <c r="J25" s="602"/>
    </row>
    <row r="26" spans="1:10" ht="12">
      <c r="A26" s="669"/>
      <c r="B26" s="594">
        <f t="shared" si="2"/>
        <v>46188</v>
      </c>
      <c r="C26" s="595">
        <f t="shared" si="4"/>
        <v>46189</v>
      </c>
      <c r="D26" s="595">
        <f t="shared" si="4"/>
        <v>46190</v>
      </c>
      <c r="E26" s="595">
        <f t="shared" si="4"/>
        <v>46191</v>
      </c>
      <c r="F26" s="596">
        <f t="shared" si="4"/>
        <v>46192</v>
      </c>
      <c r="G26" s="597">
        <f t="shared" si="4"/>
        <v>46193</v>
      </c>
      <c r="H26" s="598">
        <f t="shared" si="4"/>
        <v>46194</v>
      </c>
      <c r="I26" s="601"/>
      <c r="J26" s="602"/>
    </row>
    <row r="27" spans="1:10" ht="12">
      <c r="A27" s="669"/>
      <c r="B27" s="594">
        <f t="shared" si="2"/>
        <v>46195</v>
      </c>
      <c r="C27" s="595">
        <f t="shared" si="4"/>
        <v>46196</v>
      </c>
      <c r="D27" s="595">
        <f t="shared" si="4"/>
        <v>46197</v>
      </c>
      <c r="E27" s="595">
        <f t="shared" si="4"/>
        <v>46198</v>
      </c>
      <c r="F27" s="596">
        <f t="shared" si="4"/>
        <v>46199</v>
      </c>
      <c r="G27" s="597">
        <f t="shared" si="4"/>
        <v>46200</v>
      </c>
      <c r="H27" s="598">
        <f t="shared" si="4"/>
        <v>46201</v>
      </c>
      <c r="I27" s="601"/>
      <c r="J27" s="602"/>
    </row>
    <row r="28" spans="1:10" ht="12">
      <c r="A28" s="669" t="s">
        <v>111</v>
      </c>
      <c r="B28" s="594">
        <f t="shared" si="2"/>
        <v>46202</v>
      </c>
      <c r="C28" s="595">
        <f t="shared" si="4"/>
        <v>46203</v>
      </c>
      <c r="D28" s="595">
        <f t="shared" si="4"/>
        <v>46204</v>
      </c>
      <c r="E28" s="595">
        <f t="shared" si="4"/>
        <v>46205</v>
      </c>
      <c r="F28" s="596">
        <f t="shared" si="4"/>
        <v>46206</v>
      </c>
      <c r="G28" s="597">
        <f t="shared" si="4"/>
        <v>46207</v>
      </c>
      <c r="H28" s="598">
        <f t="shared" si="4"/>
        <v>46208</v>
      </c>
      <c r="I28" s="599"/>
      <c r="J28" s="603"/>
    </row>
    <row r="29" spans="1:10" ht="12">
      <c r="A29" s="669"/>
      <c r="B29" s="594">
        <f t="shared" si="2"/>
        <v>46209</v>
      </c>
      <c r="C29" s="595">
        <f t="shared" si="4"/>
        <v>46210</v>
      </c>
      <c r="D29" s="595">
        <f t="shared" si="4"/>
        <v>46211</v>
      </c>
      <c r="E29" s="595">
        <f t="shared" si="4"/>
        <v>46212</v>
      </c>
      <c r="F29" s="596">
        <f t="shared" si="4"/>
        <v>46213</v>
      </c>
      <c r="G29" s="597">
        <f t="shared" si="4"/>
        <v>46214</v>
      </c>
      <c r="H29" s="598">
        <f t="shared" si="4"/>
        <v>46215</v>
      </c>
      <c r="I29" s="601"/>
      <c r="J29" s="602"/>
    </row>
    <row r="30" spans="1:10" ht="12">
      <c r="A30" s="669"/>
      <c r="B30" s="594">
        <f t="shared" si="2"/>
        <v>46216</v>
      </c>
      <c r="C30" s="595">
        <f t="shared" si="4"/>
        <v>46217</v>
      </c>
      <c r="D30" s="595">
        <f t="shared" si="4"/>
        <v>46218</v>
      </c>
      <c r="E30" s="595">
        <f t="shared" si="4"/>
        <v>46219</v>
      </c>
      <c r="F30" s="596">
        <f t="shared" si="4"/>
        <v>46220</v>
      </c>
      <c r="G30" s="597">
        <f t="shared" si="4"/>
        <v>46221</v>
      </c>
      <c r="H30" s="598">
        <f t="shared" si="4"/>
        <v>46222</v>
      </c>
      <c r="I30" s="601"/>
      <c r="J30" s="602"/>
    </row>
    <row r="31" spans="1:10" ht="12">
      <c r="A31" s="669"/>
      <c r="B31" s="594">
        <f t="shared" si="2"/>
        <v>46223</v>
      </c>
      <c r="C31" s="595">
        <f t="shared" si="4"/>
        <v>46224</v>
      </c>
      <c r="D31" s="595">
        <f t="shared" si="4"/>
        <v>46225</v>
      </c>
      <c r="E31" s="595">
        <f t="shared" si="4"/>
        <v>46226</v>
      </c>
      <c r="F31" s="596">
        <f t="shared" si="4"/>
        <v>46227</v>
      </c>
      <c r="G31" s="597">
        <f t="shared" si="4"/>
        <v>46228</v>
      </c>
      <c r="H31" s="598">
        <f t="shared" si="4"/>
        <v>46229</v>
      </c>
      <c r="I31" s="601"/>
      <c r="J31" s="602"/>
    </row>
    <row r="32" spans="1:10" ht="12">
      <c r="A32" s="669"/>
      <c r="B32" s="594">
        <f t="shared" si="2"/>
        <v>46230</v>
      </c>
      <c r="C32" s="595">
        <f t="shared" ref="C32:H41" si="5">B32+1</f>
        <v>46231</v>
      </c>
      <c r="D32" s="595">
        <f t="shared" si="5"/>
        <v>46232</v>
      </c>
      <c r="E32" s="595">
        <f t="shared" si="5"/>
        <v>46233</v>
      </c>
      <c r="F32" s="596">
        <f t="shared" si="5"/>
        <v>46234</v>
      </c>
      <c r="G32" s="597">
        <f t="shared" si="5"/>
        <v>46235</v>
      </c>
      <c r="H32" s="598">
        <f t="shared" si="5"/>
        <v>46236</v>
      </c>
      <c r="I32" s="601"/>
      <c r="J32" s="602"/>
    </row>
    <row r="33" spans="1:10" ht="12">
      <c r="A33" s="669" t="s">
        <v>112</v>
      </c>
      <c r="B33" s="594">
        <f t="shared" si="2"/>
        <v>46237</v>
      </c>
      <c r="C33" s="595">
        <f t="shared" si="5"/>
        <v>46238</v>
      </c>
      <c r="D33" s="595">
        <f t="shared" si="5"/>
        <v>46239</v>
      </c>
      <c r="E33" s="595">
        <f t="shared" si="5"/>
        <v>46240</v>
      </c>
      <c r="F33" s="596">
        <f t="shared" si="5"/>
        <v>46241</v>
      </c>
      <c r="G33" s="597">
        <f t="shared" si="5"/>
        <v>46242</v>
      </c>
      <c r="H33" s="598">
        <f t="shared" si="5"/>
        <v>46243</v>
      </c>
      <c r="I33" s="601"/>
      <c r="J33" s="602"/>
    </row>
    <row r="34" spans="1:10" ht="12">
      <c r="A34" s="669"/>
      <c r="B34" s="594">
        <f t="shared" si="2"/>
        <v>46244</v>
      </c>
      <c r="C34" s="595">
        <f t="shared" si="5"/>
        <v>46245</v>
      </c>
      <c r="D34" s="595">
        <f t="shared" si="5"/>
        <v>46246</v>
      </c>
      <c r="E34" s="595">
        <f t="shared" si="5"/>
        <v>46247</v>
      </c>
      <c r="F34" s="596">
        <f t="shared" si="5"/>
        <v>46248</v>
      </c>
      <c r="G34" s="597">
        <f t="shared" si="5"/>
        <v>46249</v>
      </c>
      <c r="H34" s="598">
        <f t="shared" si="5"/>
        <v>46250</v>
      </c>
      <c r="I34" s="599"/>
      <c r="J34" s="602"/>
    </row>
    <row r="35" spans="1:10" ht="12">
      <c r="A35" s="669"/>
      <c r="B35" s="594">
        <f t="shared" si="2"/>
        <v>46251</v>
      </c>
      <c r="C35" s="595">
        <f t="shared" si="5"/>
        <v>46252</v>
      </c>
      <c r="D35" s="595">
        <f t="shared" si="5"/>
        <v>46253</v>
      </c>
      <c r="E35" s="595">
        <f t="shared" si="5"/>
        <v>46254</v>
      </c>
      <c r="F35" s="596">
        <f t="shared" si="5"/>
        <v>46255</v>
      </c>
      <c r="G35" s="597">
        <f t="shared" si="5"/>
        <v>46256</v>
      </c>
      <c r="H35" s="598">
        <f t="shared" si="5"/>
        <v>46257</v>
      </c>
      <c r="I35" s="601"/>
      <c r="J35" s="602"/>
    </row>
    <row r="36" spans="1:10" ht="12">
      <c r="A36" s="669"/>
      <c r="B36" s="594">
        <f t="shared" si="2"/>
        <v>46258</v>
      </c>
      <c r="C36" s="595">
        <f t="shared" si="5"/>
        <v>46259</v>
      </c>
      <c r="D36" s="595">
        <f t="shared" si="5"/>
        <v>46260</v>
      </c>
      <c r="E36" s="595">
        <f t="shared" si="5"/>
        <v>46261</v>
      </c>
      <c r="F36" s="596">
        <f t="shared" si="5"/>
        <v>46262</v>
      </c>
      <c r="G36" s="597">
        <f t="shared" si="5"/>
        <v>46263</v>
      </c>
      <c r="H36" s="598">
        <f t="shared" si="5"/>
        <v>46264</v>
      </c>
      <c r="I36" s="601"/>
      <c r="J36" s="602"/>
    </row>
    <row r="37" spans="1:10" ht="12">
      <c r="A37" s="669" t="s">
        <v>113</v>
      </c>
      <c r="B37" s="594">
        <f t="shared" si="2"/>
        <v>46265</v>
      </c>
      <c r="C37" s="595">
        <f t="shared" si="5"/>
        <v>46266</v>
      </c>
      <c r="D37" s="595">
        <f t="shared" si="5"/>
        <v>46267</v>
      </c>
      <c r="E37" s="595">
        <f t="shared" si="5"/>
        <v>46268</v>
      </c>
      <c r="F37" s="596">
        <f t="shared" si="5"/>
        <v>46269</v>
      </c>
      <c r="G37" s="597">
        <f t="shared" si="5"/>
        <v>46270</v>
      </c>
      <c r="H37" s="598">
        <f t="shared" si="5"/>
        <v>46271</v>
      </c>
      <c r="I37" s="601"/>
      <c r="J37" s="602"/>
    </row>
    <row r="38" spans="1:10" ht="12">
      <c r="A38" s="669"/>
      <c r="B38" s="594">
        <f t="shared" si="2"/>
        <v>46272</v>
      </c>
      <c r="C38" s="595">
        <f t="shared" si="5"/>
        <v>46273</v>
      </c>
      <c r="D38" s="595">
        <f t="shared" si="5"/>
        <v>46274</v>
      </c>
      <c r="E38" s="595">
        <f t="shared" si="5"/>
        <v>46275</v>
      </c>
      <c r="F38" s="596">
        <f t="shared" si="5"/>
        <v>46276</v>
      </c>
      <c r="G38" s="597">
        <f t="shared" si="5"/>
        <v>46277</v>
      </c>
      <c r="H38" s="598">
        <f t="shared" si="5"/>
        <v>46278</v>
      </c>
      <c r="I38" s="601"/>
      <c r="J38" s="602"/>
    </row>
    <row r="39" spans="1:10" ht="12">
      <c r="A39" s="669"/>
      <c r="B39" s="594">
        <f t="shared" si="2"/>
        <v>46279</v>
      </c>
      <c r="C39" s="595">
        <f t="shared" si="5"/>
        <v>46280</v>
      </c>
      <c r="D39" s="595">
        <f t="shared" si="5"/>
        <v>46281</v>
      </c>
      <c r="E39" s="595">
        <f t="shared" si="5"/>
        <v>46282</v>
      </c>
      <c r="F39" s="596">
        <f t="shared" si="5"/>
        <v>46283</v>
      </c>
      <c r="G39" s="597">
        <f t="shared" si="5"/>
        <v>46284</v>
      </c>
      <c r="H39" s="598">
        <f t="shared" si="5"/>
        <v>46285</v>
      </c>
      <c r="I39" s="601"/>
      <c r="J39" s="602"/>
    </row>
    <row r="40" spans="1:10" ht="12">
      <c r="A40" s="669"/>
      <c r="B40" s="594">
        <f t="shared" si="2"/>
        <v>46286</v>
      </c>
      <c r="C40" s="595">
        <f t="shared" si="5"/>
        <v>46287</v>
      </c>
      <c r="D40" s="595">
        <f t="shared" si="5"/>
        <v>46288</v>
      </c>
      <c r="E40" s="595">
        <f t="shared" si="5"/>
        <v>46289</v>
      </c>
      <c r="F40" s="596">
        <f t="shared" si="5"/>
        <v>46290</v>
      </c>
      <c r="G40" s="597">
        <f t="shared" si="5"/>
        <v>46291</v>
      </c>
      <c r="H40" s="598">
        <f t="shared" si="5"/>
        <v>46292</v>
      </c>
      <c r="I40" s="601"/>
      <c r="J40" s="602"/>
    </row>
    <row r="41" spans="1:10" ht="12">
      <c r="A41" s="669"/>
      <c r="B41" s="594">
        <f t="shared" si="2"/>
        <v>46293</v>
      </c>
      <c r="C41" s="595">
        <f t="shared" si="5"/>
        <v>46294</v>
      </c>
      <c r="D41" s="595">
        <f t="shared" si="5"/>
        <v>46295</v>
      </c>
      <c r="E41" s="595">
        <f t="shared" si="5"/>
        <v>46296</v>
      </c>
      <c r="F41" s="596">
        <f t="shared" si="5"/>
        <v>46297</v>
      </c>
      <c r="G41" s="597">
        <f t="shared" si="5"/>
        <v>46298</v>
      </c>
      <c r="H41" s="598">
        <f t="shared" si="5"/>
        <v>46299</v>
      </c>
      <c r="I41" s="599"/>
      <c r="J41" s="600"/>
    </row>
    <row r="42" spans="1:10" ht="12">
      <c r="A42" s="669" t="s">
        <v>114</v>
      </c>
      <c r="B42" s="594">
        <f t="shared" si="2"/>
        <v>46300</v>
      </c>
      <c r="C42" s="595">
        <f t="shared" ref="C42:H47" si="6">B42+1</f>
        <v>46301</v>
      </c>
      <c r="D42" s="595">
        <f t="shared" si="6"/>
        <v>46302</v>
      </c>
      <c r="E42" s="595">
        <f t="shared" si="6"/>
        <v>46303</v>
      </c>
      <c r="F42" s="596">
        <f t="shared" si="6"/>
        <v>46304</v>
      </c>
      <c r="G42" s="597">
        <f t="shared" si="6"/>
        <v>46305</v>
      </c>
      <c r="H42" s="598">
        <f t="shared" si="6"/>
        <v>46306</v>
      </c>
      <c r="I42" s="601"/>
      <c r="J42" s="602"/>
    </row>
    <row r="43" spans="1:10" ht="12">
      <c r="A43" s="669"/>
      <c r="B43" s="594">
        <f t="shared" si="2"/>
        <v>46307</v>
      </c>
      <c r="C43" s="595">
        <f t="shared" si="6"/>
        <v>46308</v>
      </c>
      <c r="D43" s="595">
        <f t="shared" si="6"/>
        <v>46309</v>
      </c>
      <c r="E43" s="595">
        <f t="shared" si="6"/>
        <v>46310</v>
      </c>
      <c r="F43" s="596">
        <f t="shared" si="6"/>
        <v>46311</v>
      </c>
      <c r="G43" s="597">
        <f t="shared" si="6"/>
        <v>46312</v>
      </c>
      <c r="H43" s="598">
        <f t="shared" si="6"/>
        <v>46313</v>
      </c>
      <c r="I43" s="601"/>
      <c r="J43" s="602"/>
    </row>
    <row r="44" spans="1:10" ht="12">
      <c r="A44" s="669"/>
      <c r="B44" s="594">
        <f t="shared" si="2"/>
        <v>46314</v>
      </c>
      <c r="C44" s="595">
        <f t="shared" si="6"/>
        <v>46315</v>
      </c>
      <c r="D44" s="595">
        <f t="shared" si="6"/>
        <v>46316</v>
      </c>
      <c r="E44" s="595">
        <f t="shared" si="6"/>
        <v>46317</v>
      </c>
      <c r="F44" s="596">
        <f t="shared" si="6"/>
        <v>46318</v>
      </c>
      <c r="G44" s="597">
        <f t="shared" si="6"/>
        <v>46319</v>
      </c>
      <c r="H44" s="598">
        <f t="shared" si="6"/>
        <v>46320</v>
      </c>
      <c r="I44" s="601"/>
      <c r="J44" s="602"/>
    </row>
    <row r="45" spans="1:10" ht="12">
      <c r="A45" s="669"/>
      <c r="B45" s="594">
        <f t="shared" si="2"/>
        <v>46321</v>
      </c>
      <c r="C45" s="595">
        <f t="shared" si="6"/>
        <v>46322</v>
      </c>
      <c r="D45" s="595">
        <f t="shared" si="6"/>
        <v>46323</v>
      </c>
      <c r="E45" s="595">
        <f t="shared" si="6"/>
        <v>46324</v>
      </c>
      <c r="F45" s="596">
        <f t="shared" si="6"/>
        <v>46325</v>
      </c>
      <c r="G45" s="597">
        <f t="shared" si="6"/>
        <v>46326</v>
      </c>
      <c r="H45" s="598">
        <f t="shared" si="6"/>
        <v>46327</v>
      </c>
      <c r="I45" s="601"/>
      <c r="J45" s="602"/>
    </row>
    <row r="46" spans="1:10" ht="12">
      <c r="A46" s="665" t="s">
        <v>115</v>
      </c>
      <c r="B46" s="594">
        <f t="shared" si="2"/>
        <v>46328</v>
      </c>
      <c r="C46" s="595">
        <f t="shared" si="6"/>
        <v>46329</v>
      </c>
      <c r="D46" s="595">
        <f t="shared" si="6"/>
        <v>46330</v>
      </c>
      <c r="E46" s="595">
        <f t="shared" si="6"/>
        <v>46331</v>
      </c>
      <c r="F46" s="596">
        <f t="shared" si="6"/>
        <v>46332</v>
      </c>
      <c r="G46" s="597">
        <f t="shared" si="6"/>
        <v>46333</v>
      </c>
      <c r="H46" s="598">
        <f t="shared" si="6"/>
        <v>46334</v>
      </c>
      <c r="I46" s="601"/>
      <c r="J46" s="602"/>
    </row>
    <row r="47" spans="1:10" ht="12">
      <c r="A47" s="666"/>
      <c r="B47" s="604">
        <f t="shared" si="2"/>
        <v>46335</v>
      </c>
      <c r="C47" s="605">
        <f t="shared" si="6"/>
        <v>46336</v>
      </c>
      <c r="D47" s="605">
        <f t="shared" si="6"/>
        <v>46337</v>
      </c>
      <c r="E47" s="605">
        <f t="shared" si="6"/>
        <v>46338</v>
      </c>
      <c r="F47" s="606">
        <f t="shared" si="6"/>
        <v>46339</v>
      </c>
      <c r="G47" s="607">
        <f t="shared" si="6"/>
        <v>46340</v>
      </c>
      <c r="H47" s="608">
        <f t="shared" si="6"/>
        <v>46341</v>
      </c>
      <c r="I47" s="601"/>
      <c r="J47" s="602"/>
    </row>
    <row r="48" spans="1:10" ht="12">
      <c r="A48" s="667"/>
      <c r="B48" s="609">
        <f t="shared" si="2"/>
        <v>46342</v>
      </c>
      <c r="C48" s="610">
        <f t="shared" ref="C48:H54" si="7">C47+7</f>
        <v>46343</v>
      </c>
      <c r="D48" s="610">
        <f t="shared" si="7"/>
        <v>46344</v>
      </c>
      <c r="E48" s="610">
        <f t="shared" si="7"/>
        <v>46345</v>
      </c>
      <c r="F48" s="611">
        <f t="shared" si="7"/>
        <v>46346</v>
      </c>
      <c r="G48" s="594">
        <f t="shared" si="7"/>
        <v>46347</v>
      </c>
      <c r="H48" s="596">
        <f t="shared" si="7"/>
        <v>46348</v>
      </c>
      <c r="I48" s="601"/>
      <c r="J48" s="602"/>
    </row>
    <row r="49" spans="1:10" ht="12">
      <c r="A49" s="667"/>
      <c r="B49" s="609">
        <f t="shared" si="2"/>
        <v>46349</v>
      </c>
      <c r="C49" s="610">
        <f t="shared" si="7"/>
        <v>46350</v>
      </c>
      <c r="D49" s="610">
        <f t="shared" si="7"/>
        <v>46351</v>
      </c>
      <c r="E49" s="610">
        <f t="shared" si="7"/>
        <v>46352</v>
      </c>
      <c r="F49" s="611">
        <f t="shared" si="7"/>
        <v>46353</v>
      </c>
      <c r="G49" s="594">
        <f t="shared" si="7"/>
        <v>46354</v>
      </c>
      <c r="H49" s="596">
        <f t="shared" si="7"/>
        <v>46355</v>
      </c>
      <c r="I49" s="601"/>
      <c r="J49" s="602"/>
    </row>
    <row r="50" spans="1:10" ht="12">
      <c r="A50" s="668" t="s">
        <v>116</v>
      </c>
      <c r="B50" s="609">
        <f t="shared" si="2"/>
        <v>46356</v>
      </c>
      <c r="C50" s="610">
        <f t="shared" si="7"/>
        <v>46357</v>
      </c>
      <c r="D50" s="610">
        <f t="shared" si="7"/>
        <v>46358</v>
      </c>
      <c r="E50" s="610">
        <f t="shared" si="7"/>
        <v>46359</v>
      </c>
      <c r="F50" s="611">
        <f t="shared" si="7"/>
        <v>46360</v>
      </c>
      <c r="G50" s="594">
        <f t="shared" si="7"/>
        <v>46361</v>
      </c>
      <c r="H50" s="596">
        <f t="shared" si="7"/>
        <v>46362</v>
      </c>
      <c r="I50" s="601"/>
      <c r="J50" s="602"/>
    </row>
    <row r="51" spans="1:10" ht="12">
      <c r="A51" s="667"/>
      <c r="B51" s="609">
        <f t="shared" si="2"/>
        <v>46363</v>
      </c>
      <c r="C51" s="610">
        <f t="shared" si="7"/>
        <v>46364</v>
      </c>
      <c r="D51" s="610">
        <f t="shared" si="7"/>
        <v>46365</v>
      </c>
      <c r="E51" s="610">
        <f t="shared" si="7"/>
        <v>46366</v>
      </c>
      <c r="F51" s="611">
        <f t="shared" si="7"/>
        <v>46367</v>
      </c>
      <c r="G51" s="594">
        <f t="shared" si="7"/>
        <v>46368</v>
      </c>
      <c r="H51" s="596">
        <f t="shared" si="7"/>
        <v>46369</v>
      </c>
      <c r="I51" s="601"/>
      <c r="J51" s="602"/>
    </row>
    <row r="52" spans="1:10" ht="12">
      <c r="A52" s="667"/>
      <c r="B52" s="609">
        <f t="shared" si="2"/>
        <v>46370</v>
      </c>
      <c r="C52" s="610">
        <f t="shared" si="7"/>
        <v>46371</v>
      </c>
      <c r="D52" s="610">
        <f t="shared" si="7"/>
        <v>46372</v>
      </c>
      <c r="E52" s="610">
        <f t="shared" si="7"/>
        <v>46373</v>
      </c>
      <c r="F52" s="611">
        <f t="shared" si="7"/>
        <v>46374</v>
      </c>
      <c r="G52" s="594">
        <f t="shared" si="7"/>
        <v>46375</v>
      </c>
      <c r="H52" s="596">
        <f t="shared" si="7"/>
        <v>46376</v>
      </c>
      <c r="I52" s="601"/>
      <c r="J52" s="602"/>
    </row>
    <row r="53" spans="1:10" ht="12">
      <c r="A53" s="667"/>
      <c r="B53" s="609">
        <f t="shared" si="2"/>
        <v>46377</v>
      </c>
      <c r="C53" s="610">
        <f t="shared" si="7"/>
        <v>46378</v>
      </c>
      <c r="D53" s="610">
        <f t="shared" si="7"/>
        <v>46379</v>
      </c>
      <c r="E53" s="610">
        <f t="shared" si="7"/>
        <v>46380</v>
      </c>
      <c r="F53" s="611">
        <f t="shared" si="7"/>
        <v>46381</v>
      </c>
      <c r="G53" s="594">
        <f t="shared" si="7"/>
        <v>46382</v>
      </c>
      <c r="H53" s="596">
        <f t="shared" si="7"/>
        <v>46383</v>
      </c>
      <c r="I53" s="601"/>
      <c r="J53" s="602"/>
    </row>
    <row r="54" spans="1:10" ht="12">
      <c r="A54" s="667"/>
      <c r="B54" s="612">
        <f t="shared" si="2"/>
        <v>46384</v>
      </c>
      <c r="C54" s="613">
        <f t="shared" si="7"/>
        <v>46385</v>
      </c>
      <c r="D54" s="613">
        <f t="shared" si="7"/>
        <v>46386</v>
      </c>
      <c r="E54" s="613">
        <f t="shared" si="7"/>
        <v>46387</v>
      </c>
      <c r="F54" s="614">
        <f t="shared" si="7"/>
        <v>46388</v>
      </c>
      <c r="G54" s="615">
        <f t="shared" si="7"/>
        <v>46389</v>
      </c>
      <c r="H54" s="616">
        <f t="shared" si="7"/>
        <v>46390</v>
      </c>
      <c r="I54" s="617"/>
      <c r="J54" s="618"/>
    </row>
  </sheetData>
  <mergeCells count="12">
    <mergeCell ref="A2:A6"/>
    <mergeCell ref="A46:A49"/>
    <mergeCell ref="A50:A54"/>
    <mergeCell ref="A24:A27"/>
    <mergeCell ref="A7:A10"/>
    <mergeCell ref="A11:A14"/>
    <mergeCell ref="A15:A19"/>
    <mergeCell ref="A20:A23"/>
    <mergeCell ref="A28:A32"/>
    <mergeCell ref="A33:A36"/>
    <mergeCell ref="A37:A41"/>
    <mergeCell ref="A42:A45"/>
  </mergeCells>
  <conditionalFormatting sqref="B2:H54">
    <cfRule type="expression" dxfId="0" priority="1">
      <formula>OR(MONTH(B2)=1, MONTH(B2)=3, MONTH(B2)=5, MONTH(B2)=7, MONTH(B2)=9, MONTH(B2)=11)</formula>
    </cfRule>
  </conditionalFormatting>
  <printOptions horizontalCentered="1" verticalCentered="1"/>
  <pageMargins left="0.25" right="0.25" top="0.75" bottom="0.75" header="0.3" footer="0.3"/>
  <pageSetup orientation="portrait" r:id="rId1"/>
  <headerFooter>
    <oddHeader>&amp;C&amp;"Source Sans Pro,Bold"&amp;22 2026</oddHeader>
  </headerFooter>
  <colBreaks count="1" manualBreakCount="1">
    <brk id="1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8274-23E9-46CC-A03E-3A0A4C1B1814}">
  <dimension ref="A1:B5"/>
  <sheetViews>
    <sheetView workbookViewId="0">
      <selection activeCell="I11" sqref="I11"/>
    </sheetView>
  </sheetViews>
  <sheetFormatPr baseColWidth="10" defaultColWidth="8.83203125" defaultRowHeight="15"/>
  <cols>
    <col min="1" max="1" width="11.5" bestFit="1" customWidth="1"/>
    <col min="2" max="2" width="10.33203125" bestFit="1" customWidth="1"/>
  </cols>
  <sheetData>
    <row r="1" spans="1:2">
      <c r="A1" s="1" t="s">
        <v>117</v>
      </c>
      <c r="B1" s="1" t="s">
        <v>118</v>
      </c>
    </row>
    <row r="2" spans="1:2">
      <c r="A2">
        <v>9</v>
      </c>
      <c r="B2" t="s">
        <v>119</v>
      </c>
    </row>
    <row r="3" spans="1:2">
      <c r="A3">
        <v>18</v>
      </c>
      <c r="B3" t="s">
        <v>120</v>
      </c>
    </row>
    <row r="4" spans="1:2">
      <c r="B4" t="s">
        <v>121</v>
      </c>
    </row>
    <row r="5" spans="1:2">
      <c r="B5" t="s">
        <v>122</v>
      </c>
    </row>
  </sheetData>
  <sheetProtection algorithmName="SHA-512" hashValue="U7pgMPui9iqcvWNKGiWn1iwLqgaPBGX/53TqFZySYG0WUiMuy0KQTgo6a0oaeJK/d5TPshhusJ5I77oIydszJw==" saltValue="VW1Sf7P4gFOp4pOiPaaR0Q==" spinCount="100000"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Game Calculator</vt:lpstr>
      <vt:lpstr>Side Games 9</vt:lpstr>
      <vt:lpstr>Side Games 18</vt:lpstr>
      <vt:lpstr>Calendar</vt:lpstr>
      <vt:lpstr>Admin</vt:lpstr>
      <vt:lpstr>EventHoles</vt:lpstr>
      <vt:lpstr>Calendar!Print_Area</vt:lpstr>
      <vt:lpstr>'Side Games 18'!Print_Area</vt:lpstr>
      <vt:lpstr>'Side Games 9'!Print_Area</vt:lpstr>
      <vt:lpstr>TGFChapter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Kerry Niester</dc:creator>
  <cp:keywords/>
  <dc:description/>
  <cp:lastModifiedBy>TGF Admin</cp:lastModifiedBy>
  <cp:revision/>
  <dcterms:created xsi:type="dcterms:W3CDTF">2018-01-09T18:31:16Z</dcterms:created>
  <dcterms:modified xsi:type="dcterms:W3CDTF">2026-02-22T02:13:49Z</dcterms:modified>
  <cp:category/>
  <cp:contentStatus/>
</cp:coreProperties>
</file>